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ation" sheetId="1" state="visible" r:id="rId3"/>
    <sheet name="Synthèse" sheetId="2" state="visible" r:id="rId4"/>
  </sheets>
  <definedNames>
    <definedName function="false" hidden="true" localSheetId="0" name="_xlnm._FilterDatabase" vbProcedure="false">Cotation!$A$1:$H$97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<sst xmlns="http://schemas.openxmlformats.org/spreadsheetml/2006/main" count="718" uniqueCount="406">
  <si>
    <t xml:space="preserve">Code</t>
  </si>
  <si>
    <t xml:space="preserve">Thème</t>
  </si>
  <si>
    <t xml:space="preserve">Exigence de l'expert</t>
  </si>
  <si>
    <t xml:space="preserve">Verdict</t>
  </si>
  <si>
    <t xml:space="preserve">Preuve dans le code</t>
  </si>
  <si>
    <t xml:space="preserve">Écart constaté</t>
  </si>
  <si>
    <t xml:space="preserve">Charge (j)</t>
  </si>
  <si>
    <t xml:space="preserve">Priorité</t>
  </si>
  <si>
    <t xml:space="preserve">EXP-01</t>
  </si>
  <si>
    <t xml:space="preserve">Ouverture et états de caisse</t>
  </si>
  <si>
    <t xml:space="preserve">Message d'accueil "Bonjour : Connectez-vous" à caisse fermée</t>
  </si>
  <si>
    <t xml:space="preserve">KO</t>
  </si>
  <si>
    <t xml:space="preserve">lock.html:67</t>
  </si>
  <si>
    <t xml:space="preserve">Libellé actuel : "Cette caisse est actuellement inutilisable"</t>
  </si>
  <si>
    <t xml:space="preserve">P1</t>
  </si>
  <si>
    <t xml:space="preserve">EXP-02</t>
  </si>
  <si>
    <t xml:space="preserve">Affichage du fond de caisse théorique à l'ouverture</t>
  </si>
  <si>
    <t xml:space="preserve">PARTIEL</t>
  </si>
  <si>
    <t xml:space="preserve">CashSessionResource.java:81</t>
  </si>
  <si>
    <t xml:space="preserve">Le formulaire pré-remplit le paramètre cash.default-opening-float ; aucun théorique calculé (report de clôture, coffre)</t>
  </si>
  <si>
    <t xml:space="preserve">P2</t>
  </si>
  <si>
    <t xml:space="preserve">EXP-03</t>
  </si>
  <si>
    <t xml:space="preserve">Libellé d'attente "CLIENT SUIVANT"</t>
  </si>
  <si>
    <t xml:space="preserve">ticket.html:51</t>
  </si>
  <si>
    <t xml:space="preserve">Libellé actuel : "EN ATTENTE D'ARTICLES..."</t>
  </si>
  <si>
    <t xml:space="preserve">EXP-04</t>
  </si>
  <si>
    <t xml:space="preserve">Comptage du fond en mode calculatrice, rien n'est enregistré</t>
  </si>
  <si>
    <t xml:space="preserve">CashCountService.java:29</t>
  </si>
  <si>
    <t xml:space="preserve">La calculatrice par coupure existe mais n'est offerte qu'à la clôture et son résultat est enregistré ; billets au-delà de 50 EUR absents</t>
  </si>
  <si>
    <t xml:space="preserve">EXP-05</t>
  </si>
  <si>
    <t xml:space="preserve">Code caissier en chiffres ou en lettres, puis code secret</t>
  </si>
  <si>
    <t xml:space="preserve">OK</t>
  </si>
  <si>
    <t xml:space="preserve">lock.html:76</t>
  </si>
  <si>
    <t xml:space="preserve">Deux modes : PIN rapide et identifiant alphabétique en deux étapes</t>
  </si>
  <si>
    <t xml:space="preserve">-</t>
  </si>
  <si>
    <t xml:space="preserve">EXP-06</t>
  </si>
  <si>
    <t xml:space="preserve">Affichage du matériel disponible à la prise de poste</t>
  </si>
  <si>
    <t xml:space="preserve">AuthResource.java:142</t>
  </si>
  <si>
    <t xml:space="preserve">Toute prise de poste passe par la page d'état matériel, CONTINUER étant le seul passage</t>
  </si>
  <si>
    <t xml:space="preserve">EXP-07</t>
  </si>
  <si>
    <t xml:space="preserve">Ouverture du tiroir pour installer le fond</t>
  </si>
  <si>
    <t xml:space="preserve">AuthResource.java:198</t>
  </si>
  <si>
    <t xml:space="preserve">Sous le paramètre drawer.open-on-login (BO-10-02-25)</t>
  </si>
  <si>
    <t xml:space="preserve">EXP-08</t>
  </si>
  <si>
    <t xml:space="preserve">Encaissement impossible tiroir ouvert</t>
  </si>
  <si>
    <t xml:space="preserve">DrawerCheckFilter.java:52</t>
  </si>
  <si>
    <t xml:space="preserve">Filtre global, détournement vers l'écran TIROIR OUVERT et retour automatique</t>
  </si>
  <si>
    <t xml:space="preserve">EXP-09</t>
  </si>
  <si>
    <t xml:space="preserve">Seconde ouverture sans revalidation du fond</t>
  </si>
  <si>
    <t xml:space="preserve">CashSessionService.java:264</t>
  </si>
  <si>
    <t xml:space="preserve">Une session ouverte fait repartir directement en vente</t>
  </si>
  <si>
    <t xml:space="preserve">EXP-10</t>
  </si>
  <si>
    <t xml:space="preserve">Trois notions : verrouiller/déverrouiller (pause, ticket conservé), ouvrir/fermer sa caisse (retrait du tiroir, la réouverture continue la session du matin), clôturer (comptage, prélèvement de tous les moyens, RAZ de fin de poste)</t>
  </si>
  <si>
    <t xml:space="preserve">CashSessionResource.java:165 / AuthResource.java:228</t>
  </si>
  <si>
    <t xml:space="preserve">La clôture Z existe et est correcte ; il manque la fermeture sans clôture, et la déconnexion qui en tient lieu doit disparaître</t>
  </si>
  <si>
    <t xml:space="preserve">EXP-11</t>
  </si>
  <si>
    <t xml:space="preserve">Fermeture impossible pendant une transaction</t>
  </si>
  <si>
    <t xml:space="preserve">SessionCloseService.java:79</t>
  </si>
  <si>
    <t xml:space="preserve">Aucun contrôle du ticket en cours : la déconnexion vide le panier</t>
  </si>
  <si>
    <t xml:space="preserve">EXP-12</t>
  </si>
  <si>
    <t xml:space="preserve">Verrouillage : tiroir bloqué, message CAISSE VERROUILLÉE, possible en cours de ticket</t>
  </si>
  <si>
    <t xml:space="preserve">LockCheckFilter.java:99</t>
  </si>
  <si>
    <t xml:space="preserve">Le verrouillage existe mais affiche CAISSE FERMÉE et ABANDONNE le ticket en cours</t>
  </si>
  <si>
    <t xml:space="preserve">EXP-13</t>
  </si>
  <si>
    <t xml:space="preserve">Seule la caissière ayant verrouillé peut déverrouiller ; son code est affiché</t>
  </si>
  <si>
    <t xml:space="preserve">AuthResource.java:125</t>
  </si>
  <si>
    <t xml:space="preserve">unlock accepte n'importe quel opérateur valide ; l'identité du verrouilleur est effacée au verrouillage</t>
  </si>
  <si>
    <t xml:space="preserve">EXP-14</t>
  </si>
  <si>
    <t xml:space="preserve">Forçage du déverrouillage par le superviseur, suivi d'un changement de mot de passe par la caissière</t>
  </si>
  <si>
    <t xml:space="preserve">aucune trace</t>
  </si>
  <si>
    <t xml:space="preserve">Cas du mot de passe oublié : la session et le tiroir restent à la caissière ; le forçage de FIN DE JOURNÉE, lui, existe déjà (FORCE_CLOSE_ACTION)</t>
  </si>
  <si>
    <t xml:space="preserve">EXP-15</t>
  </si>
  <si>
    <t xml:space="preserve">Monnaie et mouvements</t>
  </si>
  <si>
    <t xml:space="preserve">Apport de monnaie détaillé par coupure, bordereau imprimé</t>
  </si>
  <si>
    <t xml:space="preserve">cash-movement.html:62</t>
  </si>
  <si>
    <t xml:space="preserve">L'apport est un mouvement à montant unique ; le détail par coupure n'existe que pour la commande de monnaie</t>
  </si>
  <si>
    <t xml:space="preserve">EXP-16</t>
  </si>
  <si>
    <t xml:space="preserve">Impression d'un bordereau vierge</t>
  </si>
  <si>
    <t xml:space="preserve">change-order.html:89</t>
  </si>
  <si>
    <t xml:space="preserve">Bouton dédié, tableau des dénominations imprimé sans quantités</t>
  </si>
  <si>
    <t xml:space="preserve">EXP-17</t>
  </si>
  <si>
    <t xml:space="preserve">Plafond du fond de caisse, calé sur le montant garanti par l'assurance, et alerte PRÉLÈVEMENT</t>
  </si>
  <si>
    <t xml:space="preserve">Aucun paramètre de plafond de contenu du tiroir ; niveau d'administration : point de vente</t>
  </si>
  <si>
    <t xml:space="preserve">EXP-18</t>
  </si>
  <si>
    <t xml:space="preserve">Prélèvement détaillé par coupure, bordereau</t>
  </si>
  <si>
    <t xml:space="preserve">withdrawal.html:1</t>
  </si>
  <si>
    <t xml:space="preserve">Réutilise les onglets billets/pièces/rouleaux, imprime sous drawer.withdrawal-print</t>
  </si>
  <si>
    <t xml:space="preserve">EXP-19</t>
  </si>
  <si>
    <t xml:space="preserve">Messages</t>
  </si>
  <si>
    <t xml:space="preserve">Message de la caisse vers le back-office</t>
  </si>
  <si>
    <t xml:space="preserve">HomeService.java:491</t>
  </si>
  <si>
    <t xml:space="preserve">Appel superviseur à motif choisi parmi quatre boutons ; pas de message libre</t>
  </si>
  <si>
    <t xml:space="preserve">EXP-20</t>
  </si>
  <si>
    <t xml:space="preserve">Message du back-office vers la caisse, non perturbant, écran caissier seul</t>
  </si>
  <si>
    <t xml:space="preserve">Le seul flux descendant est un ordre de fermeture forcée ; pas de domaine MESSAGES dans la synchro</t>
  </si>
  <si>
    <t xml:space="preserve">EXP-21</t>
  </si>
  <si>
    <t xml:space="preserve">Saisie article</t>
  </si>
  <si>
    <t xml:space="preserve">Code appel prix court (PLU)</t>
  </si>
  <si>
    <t xml:space="preserve">fruits.html:94</t>
  </si>
  <si>
    <t xml:space="preserve">Pavé numérique dédié vers addItemByPlu</t>
  </si>
  <si>
    <t xml:space="preserve">EXP-22</t>
  </si>
  <si>
    <t xml:space="preserve">Tableau F&amp;L avec photo par produit, défilement</t>
  </si>
  <si>
    <t xml:space="preserve">fruits.html:167</t>
  </si>
  <si>
    <t xml:space="preserve">Vignette par produit en grille, mais navigation par pages et non par défilement</t>
  </si>
  <si>
    <t xml:space="preserve">EXP-23</t>
  </si>
  <si>
    <t xml:space="preserve">Recherche par saisie du libellé</t>
  </si>
  <si>
    <t xml:space="preserve">ProductSearchResource.java:93</t>
  </si>
  <si>
    <t xml:space="preserve">Clavier alphabétique, recherche par fragment, résultats paginés</t>
  </si>
  <si>
    <t xml:space="preserve">EXP-24</t>
  </si>
  <si>
    <t xml:space="preserve">Code famille puis prix libre pour un article inconnu</t>
  </si>
  <si>
    <t xml:space="preserve">manual.html:110</t>
  </si>
  <si>
    <t xml:space="preserve">L'article non reconnu à prix libre existe mais sans code famille : libellé figé, TVA par défaut, famille par tuiles</t>
  </si>
  <si>
    <t xml:space="preserve">EXP-25</t>
  </si>
  <si>
    <t xml:space="preserve">EAN-13 standard</t>
  </si>
  <si>
    <t xml:space="preserve">EanScanHandler.java:50</t>
  </si>
  <si>
    <t xml:space="preserve">Clé contrôlée, prix et TVA figés sur la ligne</t>
  </si>
  <si>
    <t xml:space="preserve">EXP-26</t>
  </si>
  <si>
    <t xml:space="preserve">EAN-13 à prix embarqué : 02, 21, 22, 24, 26, 28 ; position, longueur et format monétaire (euro ou franc) administrés par plage ; conversion au taux descendu du back-office, 6,55957 ; poids déduit du prix au kilo</t>
  </si>
  <si>
    <t xml:space="preserve">WeightedEanScanHandler.java:53</t>
  </si>
  <si>
    <t xml:space="preserve">La liste administrée vaut 21,22 ; 24 et 26 sont classés poids à tort, 02 est exclu par le filtre de repli ; ni format monétaire, ni conversion franc, ni poids recalculé (AO : BO-03-06-03/05, LC-02-05-01/02)</t>
  </si>
  <si>
    <t xml:space="preserve">EXP-27</t>
  </si>
  <si>
    <t xml:space="preserve">EAN-13 à poids embarqué : 23, 25, 27, 29 (confirmé)</t>
  </si>
  <si>
    <t xml:space="preserve">WeightedEanScanHandler.java:57</t>
  </si>
  <si>
    <t xml:space="preserve">La liste administrée vaut 23,24,25,26 : 27 et 29 manquent, 24 et 26 sont à retirer ; poids sur les digits 8 à 12</t>
  </si>
  <si>
    <t xml:space="preserve">EXP-28</t>
  </si>
  <si>
    <t xml:space="preserve">Saisie manuelle des chiffres du code-barres</t>
  </si>
  <si>
    <t xml:space="preserve">ProductSearchResource.java:166</t>
  </si>
  <si>
    <t xml:space="preserve">Même chaîne de traitement que le scanner</t>
  </si>
  <si>
    <t xml:space="preserve">EXP-29</t>
  </si>
  <si>
    <t xml:space="preserve">Répétition de ligne, interdite en poids variable et si quantité saisie</t>
  </si>
  <si>
    <t xml:space="preserve">HomeService.java:205</t>
  </si>
  <si>
    <t xml:space="preserve">Refus des lignes pesées et à prix embarqué ; le refus sur quantité saisie reste à ajouter</t>
  </si>
  <si>
    <t xml:space="preserve">EXP-30</t>
  </si>
  <si>
    <t xml:space="preserve">Quantité entière, interdite en poids variable</t>
  </si>
  <si>
    <t xml:space="preserve">HomeService.java:174</t>
  </si>
  <si>
    <t xml:space="preserve">Armement pour l'article suivant, appliqué aux seules lignes unitaires</t>
  </si>
  <si>
    <t xml:space="preserve">EXP-31</t>
  </si>
  <si>
    <t xml:space="preserve">Quantité décimale avec touche point</t>
  </si>
  <si>
    <t xml:space="preserve">TicketService.java:293</t>
  </si>
  <si>
    <t xml:space="preserve">Invite de saisie décimale avec prix à l'unité de mesure, pavé porteur du point</t>
  </si>
  <si>
    <t xml:space="preserve">EXP-32</t>
  </si>
  <si>
    <t xml:space="preserve">Négatif et superviseur</t>
  </si>
  <si>
    <t xml:space="preserve">Autorisation superviseur paramétrable fonction par fonction</t>
  </si>
  <si>
    <t xml:space="preserve">PosSettingsService.java:82</t>
  </si>
  <si>
    <t xml:space="preserve">Quelques paramètres isolés ; annulation, abandon et remboursement appellent l'endossement en dur</t>
  </si>
  <si>
    <t xml:space="preserve">EXP-33</t>
  </si>
  <si>
    <t xml:space="preserve">Mode superviseur persistant jusqu'à "fin superviseur" ou fin de ticket</t>
  </si>
  <si>
    <t xml:space="preserve">L'endossement est une demande unique effacée après chaque geste ; pas de session superviseur</t>
  </si>
  <si>
    <t xml:space="preserve">EXP-34</t>
  </si>
  <si>
    <t xml:space="preserve">Badge superviseur EAN-13 au scanner, QR code à terme</t>
  </si>
  <si>
    <t xml:space="preserve">AuthScanHandler.java:39</t>
  </si>
  <si>
    <t xml:space="preserve">Le badge EAN-13 scanné est déposé dans la boîte aux lettres d'endossement ; le QR code demandera un décodage supplémentaire côté pont matériel</t>
  </si>
  <si>
    <t xml:space="preserve">EXP-35</t>
  </si>
  <si>
    <t xml:space="preserve">Annulation dernière ligne, interdite si l'article est unique</t>
  </si>
  <si>
    <t xml:space="preserve">HomeService.java:288</t>
  </si>
  <si>
    <t xml:space="preserve">L'annulation existe ; aucun garde-fou anti-fraude ni renvoi vers l'abandon</t>
  </si>
  <si>
    <t xml:space="preserve">EXP-36</t>
  </si>
  <si>
    <t xml:space="preserve">Annulation d'une ligne par sélection OU par scan de l'article</t>
  </si>
  <si>
    <t xml:space="preserve">HomeResource.java:342</t>
  </si>
  <si>
    <t xml:space="preserve">La sélection existe ; pas de mode annulation-puis-scan ni de refus article absent</t>
  </si>
  <si>
    <t xml:space="preserve">EXP-37</t>
  </si>
  <si>
    <t xml:space="preserve">Retour ticket : scan du numéro imprimé en bas du ticket, ou recherche par numéro, date ou montant ; lignes déjà retournées grisées ; autre caisse et autre jour acceptés, autre magasin refusé</t>
  </si>
  <si>
    <t xml:space="preserve">RefundResource.java:65</t>
  </si>
  <si>
    <t xml:space="preserve">Recherche par numéro tapé seulement ; pas de scan du numéro de ticket, pas de recherche par date ni par montant, lignes déjà retournées non grisées</t>
  </si>
  <si>
    <t xml:space="preserve">EXP-38</t>
  </si>
  <si>
    <t xml:space="preserve">Ticket mixte : retour puis reprise du mode achat, total signé</t>
  </si>
  <si>
    <t xml:space="preserve">Le retour produit un document séparé ; pas de ligne négative dans le ticket en cours</t>
  </si>
  <si>
    <t xml:space="preserve">EXP-39</t>
  </si>
  <si>
    <t xml:space="preserve">Retour d'article sans ticket</t>
  </si>
  <si>
    <t xml:space="preserve">RefundService.java:361</t>
  </si>
  <si>
    <t xml:space="preserve">Tout retour exige un ticket d'origine</t>
  </si>
  <si>
    <t xml:space="preserve">EXP-40</t>
  </si>
  <si>
    <t xml:space="preserve">Mode caisse retour pour la journée</t>
  </si>
  <si>
    <t xml:space="preserve">Rien ne bascule le poste entier en retour</t>
  </si>
  <si>
    <t xml:space="preserve">EXP-41</t>
  </si>
  <si>
    <t xml:space="preserve">Remboursement CB, espèces ou avoir émis à code-barres légal</t>
  </si>
  <si>
    <t xml:space="preserve">RefundService.java:613</t>
  </si>
  <si>
    <t xml:space="preserve">L'avoir crée un StoredValue numéroté imprimé avec un Code-128 scannable</t>
  </si>
  <si>
    <t xml:space="preserve">EXP-42</t>
  </si>
  <si>
    <t xml:space="preserve">Abandon de ticket sous autorisation, avec confirmation</t>
  </si>
  <si>
    <t xml:space="preserve">TicketAbandonResource.java:74</t>
  </si>
  <si>
    <t xml:space="preserve">Écran de confirmation avec motif administré, derrière l'endossement manager</t>
  </si>
  <si>
    <t xml:space="preserve">EXP-43</t>
  </si>
  <si>
    <t xml:space="preserve">Ticket</t>
  </si>
  <si>
    <t xml:space="preserve">Sous-total : montant du groupe de lignes depuis le précédent, affiché sur les deux visus ET imprimé sur le ticket papier</t>
  </si>
  <si>
    <t xml:space="preserve">Affichage seul, pas de découpage en paniers : les offres à seuil restent calculées sur le ticket entier. L'impression le fait entrer dans le document fiscal, donc dans les références golden</t>
  </si>
  <si>
    <t xml:space="preserve">EXP-44</t>
  </si>
  <si>
    <t xml:space="preserve">Total permanent, la touche TOTAL bascule en paiement</t>
  </si>
  <si>
    <t xml:space="preserve">main.html:159</t>
  </si>
  <si>
    <t xml:space="preserve">Bloc TOTAL À PAYER rafraîchi par le poll, touche ENCAISSER</t>
  </si>
  <si>
    <t xml:space="preserve">EXP-45</t>
  </si>
  <si>
    <t xml:space="preserve">Mise en attente d'un ticket, un seul à la fois</t>
  </si>
  <si>
    <t xml:space="preserve">TicketParkingService.java:68</t>
  </si>
  <si>
    <t xml:space="preserve">La mise en attente existe avec reçu de reprise ; la limite à un seul ticket n'est pas imposée</t>
  </si>
  <si>
    <t xml:space="preserve">EXP-46</t>
  </si>
  <si>
    <t xml:space="preserve">Reprise d'un ticket en attente sur une autre caisse ; caisse hors ligne : reprise sur sa seule caisse</t>
  </si>
  <si>
    <t xml:space="preserve">TicketParkingService.java:125</t>
  </si>
  <si>
    <t xml:space="preserve">La résolution est locale au terminal, ce qui est le comportement hors ligne attendu ; la reprise inter-caisses par le nœud reste à faire</t>
  </si>
  <si>
    <t xml:space="preserve">EXP-47</t>
  </si>
  <si>
    <t xml:space="preserve">Duplicata du dernier ticket ou par recherche numéro, date/heure ou montant</t>
  </si>
  <si>
    <t xml:space="preserve">ReprintService.java:37</t>
  </si>
  <si>
    <t xml:space="preserve">Liste paginée par date décroissante ; aucun critère de recherche saisissable — même moteur de recherche que le retour ticket</t>
  </si>
  <si>
    <t xml:space="preserve">EXP-48</t>
  </si>
  <si>
    <t xml:space="preserve">Ticket dématérialisé par mail ou téléphone</t>
  </si>
  <si>
    <t xml:space="preserve">TicketEmailResource.java:93</t>
  </si>
  <si>
    <t xml:space="preserve">Mail opérationnel, adresse pré-remplie depuis la carte fidélité ; pas d'envoi SMS</t>
  </si>
  <si>
    <t xml:space="preserve">EXP-49</t>
  </si>
  <si>
    <t xml:space="preserve">Annulation d'un ticket déjà payé</t>
  </si>
  <si>
    <t xml:space="preserve">Ticket.java:69</t>
  </si>
  <si>
    <t xml:space="preserve">CLOSED est un état terminal ; seul le retour rembourse un ticket payé</t>
  </si>
  <si>
    <t xml:space="preserve">EXP-50</t>
  </si>
  <si>
    <t xml:space="preserve">Remises</t>
  </si>
  <si>
    <t xml:space="preserve">Remise et rabais globaux ventilés proportionnellement</t>
  </si>
  <si>
    <t xml:space="preserve">TicketService.java:205</t>
  </si>
  <si>
    <t xml:space="preserve">Réparti au prorata du total valorisé, résidu de centime sur la plus grosse ligne</t>
  </si>
  <si>
    <t xml:space="preserve">EXP-51</t>
  </si>
  <si>
    <t xml:space="preserve">Règlements</t>
  </si>
  <si>
    <t xml:space="preserve">Bon de réduction scanné</t>
  </si>
  <si>
    <t xml:space="preserve">VoucherScanHandler.java:52</t>
  </si>
  <si>
    <t xml:space="preserve">Résolution par pattern, contrôles de plage, dates, PDV, mini-ticket, unicité</t>
  </si>
  <si>
    <t xml:space="preserve">EXP-52</t>
  </si>
  <si>
    <t xml:space="preserve">Bon de réduction saisi en montant</t>
  </si>
  <si>
    <t xml:space="preserve">PaymentResource.java:668</t>
  </si>
  <si>
    <t xml:space="preserve">Panneau BONS D'ACHAT, montant plafonné au restant dû</t>
  </si>
  <si>
    <t xml:space="preserve">EXP-53</t>
  </si>
  <si>
    <t xml:space="preserve">Reprise d'avoir avec contrôle d'existence et de non-réutilisation</t>
  </si>
  <si>
    <t xml:space="preserve">VoucherService.java:128</t>
  </si>
  <si>
    <t xml:space="preserve">Registre StoredValue, refus explicites BON INCONNU / DÉJÀ UTILISÉ / DÉJÀ SCANNÉ</t>
  </si>
  <si>
    <t xml:space="preserve">EXP-54</t>
  </si>
  <si>
    <t xml:space="preserve">CB sans contact et CB avec code secret</t>
  </si>
  <si>
    <t xml:space="preserve">PaymentService.java:686</t>
  </si>
  <si>
    <t xml:space="preserve">Un seul flux délégué au TPE ; le mode réel n'est ni distingué ni tracé</t>
  </si>
  <si>
    <t xml:space="preserve">EXP-55</t>
  </si>
  <si>
    <t xml:space="preserve">Espèces : touches d'arrondi au 10 EUR supérieur et coupures de 5 à 100 EUR</t>
  </si>
  <si>
    <t xml:space="preserve">PaymentService.java:521</t>
  </si>
  <si>
    <t xml:space="preserve">Rendu et arrondi légal présents ; le pavé n'offre que les chiffres</t>
  </si>
  <si>
    <t xml:space="preserve">EXP-56</t>
  </si>
  <si>
    <t xml:space="preserve">Chèques : lecture CMC7 et impression</t>
  </si>
  <si>
    <t xml:space="preserve">ChequeReadingService.java:88</t>
  </si>
  <si>
    <t xml:space="preserve">Ligne CMC7 conservée, endos imprimé pendant que le lecteur tient le chèque</t>
  </si>
  <si>
    <t xml:space="preserve">EXP-57</t>
  </si>
  <si>
    <t xml:space="preserve">Bon Catalina</t>
  </si>
  <si>
    <t xml:space="preserve">DataInitializer.java:461</t>
  </si>
  <si>
    <t xml:space="preserve">Type CATALINA, préfixe 0482, saisie du montant au scan</t>
  </si>
  <si>
    <t xml:space="preserve">EXP-58</t>
  </si>
  <si>
    <t xml:space="preserve">Bons SOGEC / scan coupon</t>
  </si>
  <si>
    <t xml:space="preserve">Gs1ScanHandler.java:152</t>
  </si>
  <si>
    <t xml:space="preserve">Coupon GS1 générique administré ; aucun circuit SOGEC ni compensation fournisseur</t>
  </si>
  <si>
    <t xml:space="preserve">EXP-59</t>
  </si>
  <si>
    <t xml:space="preserve">Titres restaurant papier</t>
  </si>
  <si>
    <t xml:space="preserve">PaymentService.java:812</t>
  </si>
  <si>
    <t xml:space="preserve">Plafonné à l'assiette éligible, cumul déduit, ouverture tiroir</t>
  </si>
  <si>
    <t xml:space="preserve">EXP-60</t>
  </si>
  <si>
    <t xml:space="preserve">Carte TRD</t>
  </si>
  <si>
    <t xml:space="preserve">PaymentTypes.java</t>
  </si>
  <si>
    <t xml:space="preserve">Seul le TR papier existe ; une carte TRD s'enregistrerait en CARD sans assiette ni plafond</t>
  </si>
  <si>
    <t xml:space="preserve">EXP-61</t>
  </si>
  <si>
    <t xml:space="preserve">Cagnotte fidélité en règlement</t>
  </si>
  <si>
    <t xml:space="preserve">PaymentService.java:1112</t>
  </si>
  <si>
    <t xml:space="preserve">Protocole de réservation imfid, confirmé au moment fiscal, libéré à l'annulation</t>
  </si>
  <si>
    <t xml:space="preserve">EXP-62</t>
  </si>
  <si>
    <t xml:space="preserve">Paiement partiel, plusieurs règlements par ticket</t>
  </si>
  <si>
    <t xml:space="preserve">PaymentState.java</t>
  </si>
  <si>
    <t xml:space="preserve">Chaque règlement plafonné au restant dû, clôture au restant zéro</t>
  </si>
  <si>
    <t xml:space="preserve">EXP-63</t>
  </si>
  <si>
    <t xml:space="preserve">Annulation d'un règlement déjà saisi</t>
  </si>
  <si>
    <t xml:space="preserve">PaymentService.java:223</t>
  </si>
  <si>
    <t xml:space="preserve">Seule l'annulation globale existe ; pas de suppression d'un règlement isolé</t>
  </si>
  <si>
    <t xml:space="preserve">EXP-64</t>
  </si>
  <si>
    <t xml:space="preserve">Chèque cadeau</t>
  </si>
  <si>
    <t xml:space="preserve">DataInitializer.java:449</t>
  </si>
  <si>
    <t xml:space="preserve">Reconnu au scan ou par saisie, montant encodé, également par GS1 GDTI</t>
  </si>
  <si>
    <t xml:space="preserve">EXP-65</t>
  </si>
  <si>
    <t xml:space="preserve">Carte cadeau ITM</t>
  </si>
  <si>
    <t xml:space="preserve">StoredValue.java</t>
  </si>
  <si>
    <t xml:space="preserve">Vente, création au registre, impression, rechargements partiels, consultation de solde</t>
  </si>
  <si>
    <t xml:space="preserve">EXP-66</t>
  </si>
  <si>
    <t xml:space="preserve">Carte cadeau fournisseur</t>
  </si>
  <si>
    <t xml:space="preserve">Gs1ScanHandler.java:210</t>
  </si>
  <si>
    <t xml:space="preserve">Un titre tiers peut être administré ; pas d'interrogation du registre de l'émetteur</t>
  </si>
  <si>
    <t xml:space="preserve">EXP-67</t>
  </si>
  <si>
    <t xml:space="preserve">Resto flash</t>
  </si>
  <si>
    <t xml:space="preserve">Aucun paiement mobile de titre-restaurant</t>
  </si>
  <si>
    <t xml:space="preserve">EXP-68</t>
  </si>
  <si>
    <t xml:space="preserve">Crédit client</t>
  </si>
  <si>
    <t xml:space="preserve">CreditClientService.java:262</t>
  </si>
  <si>
    <t xml:space="preserve">Recherche du compte, encours, plafond, aval superviseur, mode dégradé</t>
  </si>
  <si>
    <t xml:space="preserve">EXP-69</t>
  </si>
  <si>
    <t xml:space="preserve">Devises, taux au back-office, rendu en euros</t>
  </si>
  <si>
    <t xml:space="preserve">ForeignCurrencyService.java:31</t>
  </si>
  <si>
    <t xml:space="preserve">Taux administré descendu par la synchro, conversion puis rendu en euros</t>
  </si>
  <si>
    <t xml:space="preserve">EXP-70</t>
  </si>
  <si>
    <t xml:space="preserve">Remise en pourcentage sur article</t>
  </si>
  <si>
    <t xml:space="preserve">TicketService.java:627</t>
  </si>
  <si>
    <t xml:space="preserve">Plafond administré, articles interdits exclus</t>
  </si>
  <si>
    <t xml:space="preserve">EXP-71</t>
  </si>
  <si>
    <t xml:space="preserve">Remise en pourcentage sur le ticket</t>
  </si>
  <si>
    <t xml:space="preserve">Convertie en montant puis réallouée au prorata</t>
  </si>
  <si>
    <t xml:space="preserve">EXP-72</t>
  </si>
  <si>
    <t xml:space="preserve">Rabais en euros sur article</t>
  </si>
  <si>
    <t xml:space="preserve">TicketService.java:591</t>
  </si>
  <si>
    <t xml:space="preserve">Plafond administré, total borné à zéro</t>
  </si>
  <si>
    <t xml:space="preserve">EXP-73</t>
  </si>
  <si>
    <t xml:space="preserve">Rabais en euros sur le ticket</t>
  </si>
  <si>
    <t xml:space="preserve">Refusé au-delà du plafond, écrêté à l'assiette</t>
  </si>
  <si>
    <t xml:space="preserve">EXP-74</t>
  </si>
  <si>
    <t xml:space="preserve">Fidélité</t>
  </si>
  <si>
    <t xml:space="preserve">Recherche client par nom, ville ou téléphone</t>
  </si>
  <si>
    <t xml:space="preserve">FidelityResource.java:92</t>
  </si>
  <si>
    <t xml:space="preserve">Téléphone, e-mail et nom présents ; le critère ville n'existe pas</t>
  </si>
  <si>
    <t xml:space="preserve">EXP-75</t>
  </si>
  <si>
    <t xml:space="preserve">Consultation du solde de la cagnotte</t>
  </si>
  <si>
    <t xml:space="preserve">FidelityService.java:553</t>
  </si>
  <si>
    <t xml:space="preserve">Statut, solde, solde disponible et quinze derniers mouvements</t>
  </si>
  <si>
    <t xml:space="preserve">EXP-76</t>
  </si>
  <si>
    <t xml:space="preserve">Message du service fidélité reçu en caisse</t>
  </si>
  <si>
    <t xml:space="preserve">ImfidClient.java:505</t>
  </si>
  <si>
    <t xml:space="preserve">Le champ warnings est désérialisé mais jamais affiché ; aucun canal de message</t>
  </si>
  <si>
    <t xml:space="preserve">EXP-77</t>
  </si>
  <si>
    <t xml:space="preserve">Tiroir et fin de journée</t>
  </si>
  <si>
    <t xml:space="preserve">Comptage de la caisse en espèces</t>
  </si>
  <si>
    <t xml:space="preserve">CashCountResource.java:64</t>
  </si>
  <si>
    <t xml:space="preserve">Onglets billets, pièces, rouleaux, total calculé</t>
  </si>
  <si>
    <t xml:space="preserve">EXP-78</t>
  </si>
  <si>
    <t xml:space="preserve">Transfert de règlement</t>
  </si>
  <si>
    <t xml:space="preserve">DrawerOperationsResource.java:143</t>
  </si>
  <si>
    <t xml:space="preserve">Plafonné au théorique source, tracé, aval manager au-delà du seuil</t>
  </si>
  <si>
    <t xml:space="preserve">EXP-79</t>
  </si>
  <si>
    <t xml:space="preserve">Lecture du CA du caissier</t>
  </si>
  <si>
    <t xml:space="preserve">CashSessionResource.java:130</t>
  </si>
  <si>
    <t xml:space="preserve">Le rapport X agrège la SESSION du terminal, jamais filtré par caissier</t>
  </si>
  <si>
    <t xml:space="preserve">EXP-80</t>
  </si>
  <si>
    <t xml:space="preserve">Bordereau de règlement pour contrôle</t>
  </si>
  <si>
    <t xml:space="preserve">DrawerMethodService.java:200</t>
  </si>
  <si>
    <t xml:space="preserve">Liste règlement par règlement sur le ticket de prélèvement ; pas de bordereau autonome</t>
  </si>
  <si>
    <t xml:space="preserve">EXP-81</t>
  </si>
  <si>
    <t xml:space="preserve">Dépenses (livreur, timbres)</t>
  </si>
  <si>
    <t xml:space="preserve">cash-movement.html:63</t>
  </si>
  <si>
    <t xml:space="preserve">Type EXPENSE avec motifs administrés et aval manager au-delà du seuil</t>
  </si>
  <si>
    <t xml:space="preserve">EXP-82</t>
  </si>
  <si>
    <t xml:space="preserve">Écart de caisse : seuil administré au point de vente (usuellement 1 EUR), alerte, recomptage ou validation superviseur</t>
  </si>
  <si>
    <t xml:space="preserve">CashSessionService.java:637</t>
  </si>
  <si>
    <t xml:space="preserve">Théorique et écart calculés et imprimés ; aucun seuil paramétrable, aucune alerte ni validation</t>
  </si>
  <si>
    <t xml:space="preserve">EXP-83</t>
  </si>
  <si>
    <t xml:space="preserve">Comptage des quantités par moyen de paiement papier</t>
  </si>
  <si>
    <t xml:space="preserve">TenderDefinition.java:138</t>
  </si>
  <si>
    <t xml:space="preserve">Les drapeaux déclaration et prélèvement automatique existent ; seules les espèces sont comptées</t>
  </si>
  <si>
    <t xml:space="preserve">EXP-84</t>
  </si>
  <si>
    <t xml:space="preserve">Fonctions avancées</t>
  </si>
  <si>
    <t xml:space="preserve">Demande de service au back-office par liste déroulante</t>
  </si>
  <si>
    <t xml:space="preserve">HomeResource.java:234</t>
  </si>
  <si>
    <t xml:space="preserve">Quatre motifs figés vers le superviseur magasin ; liste non administrée</t>
  </si>
  <si>
    <t xml:space="preserve">EXP-85</t>
  </si>
  <si>
    <t xml:space="preserve">Acompte : versement et reprise sur commande</t>
  </si>
  <si>
    <t xml:space="preserve">CashMovement.java:56</t>
  </si>
  <si>
    <t xml:space="preserve">Le versement existe comme mouvement de caisse ; aucun rattachement ni reprise</t>
  </si>
  <si>
    <t xml:space="preserve">EXP-86</t>
  </si>
  <si>
    <t xml:space="preserve">Factures B to B et B to C</t>
  </si>
  <si>
    <t xml:space="preserve">InvoiceService.java:391</t>
  </si>
  <si>
    <t xml:space="preserve">Flux complet, client en compte ou client volatil, sorties ticket, facturette, A4</t>
  </si>
  <si>
    <t xml:space="preserve">EXP-87</t>
  </si>
  <si>
    <t xml:space="preserve">Gestion du coffre</t>
  </si>
  <si>
    <t xml:space="preserve">FeedImportResource.java:57</t>
  </si>
  <si>
    <t xml:space="preserve">Le coffre appartient au nœud magasin ; la caisse ne porte pas cette entité</t>
  </si>
  <si>
    <t xml:space="preserve">EXP-88</t>
  </si>
  <si>
    <t xml:space="preserve">Article à enlever, bon d'enlèvement</t>
  </si>
  <si>
    <t xml:space="preserve">HomeService.java:263</t>
  </si>
  <si>
    <t xml:space="preserve">Marquage de ligne ou armement, bon dédié imprimé à la clôture</t>
  </si>
  <si>
    <t xml:space="preserve">EXP-89</t>
  </si>
  <si>
    <t xml:space="preserve">Message caisse de type sondage</t>
  </si>
  <si>
    <t xml:space="preserve">Aucun mécanisme de sondage ni de statistique en caisse</t>
  </si>
  <si>
    <t xml:space="preserve">EXP-90</t>
  </si>
  <si>
    <t xml:space="preserve">Devis et commandes rappelés par code</t>
  </si>
  <si>
    <t xml:space="preserve">Aucun chargement d'articles depuis un document externe</t>
  </si>
  <si>
    <t xml:space="preserve">EXP-91</t>
  </si>
  <si>
    <t xml:space="preserve">Bon de vente rappelé par code</t>
  </si>
  <si>
    <t xml:space="preserve">Aucun bon de vente en caisse</t>
  </si>
  <si>
    <t xml:space="preserve">EXP-92</t>
  </si>
  <si>
    <t xml:space="preserve">Click and collect</t>
  </si>
  <si>
    <t xml:space="preserve">Aucun flux de récupération de panier préparé</t>
  </si>
  <si>
    <t xml:space="preserve">EXP-93</t>
  </si>
  <si>
    <t xml:space="preserve">Touche INFO ARTICLE, y compris caisse fermée sans code</t>
  </si>
  <si>
    <t xml:space="preserve">ProductSearchResource.java:94</t>
  </si>
  <si>
    <t xml:space="preserve">L'écran de recherche affiche libellé et prix mais n'est pas accessible caisse verrouillée et n'est pas en lecture seule</t>
  </si>
  <si>
    <t xml:space="preserve">EXP-95</t>
  </si>
  <si>
    <t xml:space="preserve">Fond de caisse flottant : le soir le caissier prélève les billets et laisse le fond initial ; comptage complet en fin de semaine et le dernier jour du mois</t>
  </si>
  <si>
    <t xml:space="preserve">Seul le fond fixe, compté chaque soir, est implémenté ; le second mode de clôture n'existe pas</t>
  </si>
  <si>
    <t xml:space="preserve">EXP-96</t>
  </si>
  <si>
    <t xml:space="preserve">Forçage de la fin de journée par le superviseur quand la caissière ne revient pas</t>
  </si>
  <si>
    <t xml:space="preserve">SessionCloseService.java FORCE_CLOSE_ACTION</t>
  </si>
  <si>
    <t xml:space="preserve">La fermeture forcée existe ; elle n'est pas reliée au cas du poste verrouillé et abandonné</t>
  </si>
  <si>
    <t xml:space="preserve">EXP-94</t>
  </si>
  <si>
    <t xml:space="preserve">Mode école avec début et fin sous autorisation</t>
  </si>
  <si>
    <t xml:space="preserve">HomeService.java:459</t>
  </si>
  <si>
    <t xml:space="preserve">Début et fin journalisés, aval manager, thème dédié, gestes fiscaux bloqués</t>
  </si>
  <si>
    <t xml:space="preserve">Cotation du rapport de test — expert fonctionnel caisse</t>
  </si>
  <si>
    <t xml:space="preserve">Source : 2026-09-28-HENRI-CAISSE.txt — 94 exigences relevées, cotées contre le code d'impos</t>
  </si>
  <si>
    <t xml:space="preserve">Nombre</t>
  </si>
  <si>
    <t xml:space="preserve">Part</t>
  </si>
  <si>
    <t xml:space="preserve">Total</t>
  </si>
  <si>
    <t xml:space="preserve">Taux de couverture (PARTIEL compté pour moitié)</t>
  </si>
  <si>
    <t xml:space="preserve">Charge totale des écarts</t>
  </si>
  <si>
    <t xml:space="preserve">Par priorité</t>
  </si>
  <si>
    <t xml:space="preserve">P3</t>
  </si>
  <si>
    <t xml:space="preserve">Par thème</t>
  </si>
  <si>
    <t xml:space="preserve">Note : la charge est une estimation de développement sur impos seul, hors nœud magasin et hors back-office, saisie manuellement ligne à ligne dans l'onglet Cotation.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</si>
</sst>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;;\-"/>
    <numFmt numFmtId="166" formatCode="0.0%"/>
    <numFmt numFmtId="167" formatCode="0.0"/>
    <numFmt numFmtId="168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56"/>
    <col collapsed="false" customWidth="true" hidden="false" outlineLevel="0" max="8" min="7" style="0" width="9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3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6" t="n">
        <v>0.2</v>
      </c>
      <c r="H2" s="7" t="s">
        <v>14</v>
      </c>
    </row>
    <row r="3" customFormat="false" ht="23.85" hidden="false" customHeight="false" outlineLevel="0" collapsed="false">
      <c r="A3" s="2" t="s">
        <v>15</v>
      </c>
      <c r="B3" s="3" t="s">
        <v>9</v>
      </c>
      <c r="C3" s="4" t="s">
        <v>16</v>
      </c>
      <c r="D3" s="8" t="s">
        <v>17</v>
      </c>
      <c r="E3" s="4" t="s">
        <v>18</v>
      </c>
      <c r="F3" s="4" t="s">
        <v>19</v>
      </c>
      <c r="G3" s="6" t="n">
        <v>1</v>
      </c>
      <c r="H3" s="7" t="s">
        <v>20</v>
      </c>
    </row>
    <row r="4" customFormat="false" ht="15" hidden="false" customHeight="false" outlineLevel="0" collapsed="false">
      <c r="A4" s="2" t="s">
        <v>21</v>
      </c>
      <c r="B4" s="3" t="s">
        <v>9</v>
      </c>
      <c r="C4" s="4" t="s">
        <v>22</v>
      </c>
      <c r="D4" s="5" t="s">
        <v>11</v>
      </c>
      <c r="E4" s="4" t="s">
        <v>23</v>
      </c>
      <c r="F4" s="4" t="s">
        <v>24</v>
      </c>
      <c r="G4" s="6" t="n">
        <v>0.2</v>
      </c>
      <c r="H4" s="7" t="s">
        <v>14</v>
      </c>
    </row>
    <row r="5" customFormat="false" ht="23.85" hidden="false" customHeight="false" outlineLevel="0" collapsed="false">
      <c r="A5" s="2" t="s">
        <v>25</v>
      </c>
      <c r="B5" s="3" t="s">
        <v>9</v>
      </c>
      <c r="C5" s="4" t="s">
        <v>26</v>
      </c>
      <c r="D5" s="8" t="s">
        <v>17</v>
      </c>
      <c r="E5" s="4" t="s">
        <v>27</v>
      </c>
      <c r="F5" s="4" t="s">
        <v>28</v>
      </c>
      <c r="G5" s="6" t="n">
        <v>1.5</v>
      </c>
      <c r="H5" s="7" t="s">
        <v>14</v>
      </c>
    </row>
    <row r="6" customFormat="false" ht="15" hidden="false" customHeight="false" outlineLevel="0" collapsed="false">
      <c r="A6" s="2" t="s">
        <v>29</v>
      </c>
      <c r="B6" s="3" t="s">
        <v>9</v>
      </c>
      <c r="C6" s="4" t="s">
        <v>30</v>
      </c>
      <c r="D6" s="9" t="s">
        <v>31</v>
      </c>
      <c r="E6" s="4" t="s">
        <v>32</v>
      </c>
      <c r="F6" s="4" t="s">
        <v>33</v>
      </c>
      <c r="G6" s="6" t="n">
        <v>0</v>
      </c>
      <c r="H6" s="7" t="s">
        <v>34</v>
      </c>
    </row>
    <row r="7" customFormat="false" ht="23.85" hidden="false" customHeight="false" outlineLevel="0" collapsed="false">
      <c r="A7" s="2" t="s">
        <v>35</v>
      </c>
      <c r="B7" s="3" t="s">
        <v>9</v>
      </c>
      <c r="C7" s="4" t="s">
        <v>36</v>
      </c>
      <c r="D7" s="9" t="s">
        <v>31</v>
      </c>
      <c r="E7" s="4" t="s">
        <v>37</v>
      </c>
      <c r="F7" s="4" t="s">
        <v>38</v>
      </c>
      <c r="G7" s="6" t="n">
        <v>0</v>
      </c>
      <c r="H7" s="7" t="s">
        <v>34</v>
      </c>
    </row>
    <row r="8" customFormat="false" ht="15" hidden="false" customHeight="false" outlineLevel="0" collapsed="false">
      <c r="A8" s="2" t="s">
        <v>39</v>
      </c>
      <c r="B8" s="3" t="s">
        <v>9</v>
      </c>
      <c r="C8" s="4" t="s">
        <v>40</v>
      </c>
      <c r="D8" s="9" t="s">
        <v>31</v>
      </c>
      <c r="E8" s="4" t="s">
        <v>41</v>
      </c>
      <c r="F8" s="4" t="s">
        <v>42</v>
      </c>
      <c r="G8" s="6" t="n">
        <v>0</v>
      </c>
      <c r="H8" s="7" t="s">
        <v>34</v>
      </c>
    </row>
    <row r="9" customFormat="false" ht="23.85" hidden="false" customHeight="false" outlineLevel="0" collapsed="false">
      <c r="A9" s="2" t="s">
        <v>43</v>
      </c>
      <c r="B9" s="3" t="s">
        <v>9</v>
      </c>
      <c r="C9" s="4" t="s">
        <v>44</v>
      </c>
      <c r="D9" s="9" t="s">
        <v>31</v>
      </c>
      <c r="E9" s="4" t="s">
        <v>45</v>
      </c>
      <c r="F9" s="4" t="s">
        <v>46</v>
      </c>
      <c r="G9" s="6" t="n">
        <v>0</v>
      </c>
      <c r="H9" s="7" t="s">
        <v>34</v>
      </c>
    </row>
    <row r="10" customFormat="false" ht="15" hidden="false" customHeight="false" outlineLevel="0" collapsed="false">
      <c r="A10" s="2" t="s">
        <v>47</v>
      </c>
      <c r="B10" s="3" t="s">
        <v>9</v>
      </c>
      <c r="C10" s="4" t="s">
        <v>48</v>
      </c>
      <c r="D10" s="9" t="s">
        <v>31</v>
      </c>
      <c r="E10" s="4" t="s">
        <v>49</v>
      </c>
      <c r="F10" s="4" t="s">
        <v>50</v>
      </c>
      <c r="G10" s="6" t="n">
        <v>0</v>
      </c>
      <c r="H10" s="7" t="s">
        <v>34</v>
      </c>
    </row>
    <row r="11" customFormat="false" ht="57.45" hidden="false" customHeight="false" outlineLevel="0" collapsed="false">
      <c r="A11" s="2" t="s">
        <v>51</v>
      </c>
      <c r="B11" s="3" t="s">
        <v>9</v>
      </c>
      <c r="C11" s="4" t="s">
        <v>52</v>
      </c>
      <c r="D11" s="8" t="s">
        <v>17</v>
      </c>
      <c r="E11" s="4" t="s">
        <v>53</v>
      </c>
      <c r="F11" s="4" t="s">
        <v>54</v>
      </c>
      <c r="G11" s="6" t="n">
        <v>3.5</v>
      </c>
      <c r="H11" s="7" t="s">
        <v>14</v>
      </c>
    </row>
    <row r="12" customFormat="false" ht="15" hidden="false" customHeight="false" outlineLevel="0" collapsed="false">
      <c r="A12" s="2" t="s">
        <v>55</v>
      </c>
      <c r="B12" s="3" t="s">
        <v>9</v>
      </c>
      <c r="C12" s="4" t="s">
        <v>56</v>
      </c>
      <c r="D12" s="5" t="s">
        <v>11</v>
      </c>
      <c r="E12" s="4" t="s">
        <v>57</v>
      </c>
      <c r="F12" s="4" t="s">
        <v>58</v>
      </c>
      <c r="G12" s="6" t="n">
        <v>0.5</v>
      </c>
      <c r="H12" s="7" t="s">
        <v>14</v>
      </c>
    </row>
    <row r="13" customFormat="false" ht="23.85" hidden="false" customHeight="false" outlineLevel="0" collapsed="false">
      <c r="A13" s="2" t="s">
        <v>59</v>
      </c>
      <c r="B13" s="3" t="s">
        <v>9</v>
      </c>
      <c r="C13" s="4" t="s">
        <v>60</v>
      </c>
      <c r="D13" s="8" t="s">
        <v>17</v>
      </c>
      <c r="E13" s="4" t="s">
        <v>61</v>
      </c>
      <c r="F13" s="4" t="s">
        <v>62</v>
      </c>
      <c r="G13" s="6" t="n">
        <v>1.5</v>
      </c>
      <c r="H13" s="7" t="s">
        <v>14</v>
      </c>
    </row>
    <row r="14" customFormat="false" ht="23.85" hidden="false" customHeight="false" outlineLevel="0" collapsed="false">
      <c r="A14" s="2" t="s">
        <v>63</v>
      </c>
      <c r="B14" s="3" t="s">
        <v>9</v>
      </c>
      <c r="C14" s="4" t="s">
        <v>64</v>
      </c>
      <c r="D14" s="5" t="s">
        <v>11</v>
      </c>
      <c r="E14" s="4" t="s">
        <v>65</v>
      </c>
      <c r="F14" s="4" t="s">
        <v>66</v>
      </c>
      <c r="G14" s="6" t="n">
        <v>1.5</v>
      </c>
      <c r="H14" s="7" t="s">
        <v>14</v>
      </c>
    </row>
    <row r="15" customFormat="false" ht="35.05" hidden="false" customHeight="false" outlineLevel="0" collapsed="false">
      <c r="A15" s="2" t="s">
        <v>67</v>
      </c>
      <c r="B15" s="3" t="s">
        <v>9</v>
      </c>
      <c r="C15" s="4" t="s">
        <v>68</v>
      </c>
      <c r="D15" s="5" t="s">
        <v>11</v>
      </c>
      <c r="E15" s="4" t="s">
        <v>69</v>
      </c>
      <c r="F15" s="4" t="s">
        <v>70</v>
      </c>
      <c r="G15" s="6" t="n">
        <v>1.5</v>
      </c>
      <c r="H15" s="7" t="s">
        <v>14</v>
      </c>
    </row>
    <row r="16" customFormat="false" ht="23.85" hidden="false" customHeight="false" outlineLevel="0" collapsed="false">
      <c r="A16" s="2" t="s">
        <v>71</v>
      </c>
      <c r="B16" s="3" t="s">
        <v>72</v>
      </c>
      <c r="C16" s="4" t="s">
        <v>73</v>
      </c>
      <c r="D16" s="8" t="s">
        <v>17</v>
      </c>
      <c r="E16" s="4" t="s">
        <v>74</v>
      </c>
      <c r="F16" s="4" t="s">
        <v>75</v>
      </c>
      <c r="G16" s="6" t="n">
        <v>2</v>
      </c>
      <c r="H16" s="7" t="s">
        <v>14</v>
      </c>
    </row>
    <row r="17" customFormat="false" ht="15" hidden="false" customHeight="false" outlineLevel="0" collapsed="false">
      <c r="A17" s="2" t="s">
        <v>76</v>
      </c>
      <c r="B17" s="3" t="s">
        <v>72</v>
      </c>
      <c r="C17" s="4" t="s">
        <v>77</v>
      </c>
      <c r="D17" s="9" t="s">
        <v>31</v>
      </c>
      <c r="E17" s="4" t="s">
        <v>78</v>
      </c>
      <c r="F17" s="4" t="s">
        <v>79</v>
      </c>
      <c r="G17" s="6" t="n">
        <v>0</v>
      </c>
      <c r="H17" s="7" t="s">
        <v>34</v>
      </c>
    </row>
    <row r="18" customFormat="false" ht="23.85" hidden="false" customHeight="false" outlineLevel="0" collapsed="false">
      <c r="A18" s="2" t="s">
        <v>80</v>
      </c>
      <c r="B18" s="3" t="s">
        <v>72</v>
      </c>
      <c r="C18" s="4" t="s">
        <v>81</v>
      </c>
      <c r="D18" s="5" t="s">
        <v>11</v>
      </c>
      <c r="E18" s="4" t="s">
        <v>69</v>
      </c>
      <c r="F18" s="4" t="s">
        <v>82</v>
      </c>
      <c r="G18" s="6" t="n">
        <v>1.5</v>
      </c>
      <c r="H18" s="7" t="s">
        <v>14</v>
      </c>
    </row>
    <row r="19" customFormat="false" ht="23.85" hidden="false" customHeight="false" outlineLevel="0" collapsed="false">
      <c r="A19" s="2" t="s">
        <v>83</v>
      </c>
      <c r="B19" s="3" t="s">
        <v>72</v>
      </c>
      <c r="C19" s="4" t="s">
        <v>84</v>
      </c>
      <c r="D19" s="9" t="s">
        <v>31</v>
      </c>
      <c r="E19" s="4" t="s">
        <v>85</v>
      </c>
      <c r="F19" s="4" t="s">
        <v>86</v>
      </c>
      <c r="G19" s="6" t="n">
        <v>0</v>
      </c>
      <c r="H19" s="7" t="s">
        <v>34</v>
      </c>
    </row>
    <row r="20" customFormat="false" ht="23.85" hidden="false" customHeight="false" outlineLevel="0" collapsed="false">
      <c r="A20" s="2" t="s">
        <v>87</v>
      </c>
      <c r="B20" s="3" t="s">
        <v>88</v>
      </c>
      <c r="C20" s="4" t="s">
        <v>89</v>
      </c>
      <c r="D20" s="8" t="s">
        <v>17</v>
      </c>
      <c r="E20" s="4" t="s">
        <v>90</v>
      </c>
      <c r="F20" s="4" t="s">
        <v>91</v>
      </c>
      <c r="G20" s="6" t="n">
        <v>2</v>
      </c>
      <c r="H20" s="7" t="s">
        <v>20</v>
      </c>
    </row>
    <row r="21" customFormat="false" ht="23.85" hidden="false" customHeight="false" outlineLevel="0" collapsed="false">
      <c r="A21" s="2" t="s">
        <v>92</v>
      </c>
      <c r="B21" s="3" t="s">
        <v>88</v>
      </c>
      <c r="C21" s="4" t="s">
        <v>93</v>
      </c>
      <c r="D21" s="5" t="s">
        <v>11</v>
      </c>
      <c r="E21" s="4" t="s">
        <v>69</v>
      </c>
      <c r="F21" s="4" t="s">
        <v>94</v>
      </c>
      <c r="G21" s="6" t="n">
        <v>3</v>
      </c>
      <c r="H21" s="7" t="s">
        <v>20</v>
      </c>
    </row>
    <row r="22" customFormat="false" ht="15" hidden="false" customHeight="false" outlineLevel="0" collapsed="false">
      <c r="A22" s="2" t="s">
        <v>95</v>
      </c>
      <c r="B22" s="3" t="s">
        <v>96</v>
      </c>
      <c r="C22" s="4" t="s">
        <v>97</v>
      </c>
      <c r="D22" s="9" t="s">
        <v>31</v>
      </c>
      <c r="E22" s="4" t="s">
        <v>98</v>
      </c>
      <c r="F22" s="4" t="s">
        <v>99</v>
      </c>
      <c r="G22" s="6" t="n">
        <v>0</v>
      </c>
      <c r="H22" s="7" t="s">
        <v>34</v>
      </c>
    </row>
    <row r="23" customFormat="false" ht="23.85" hidden="false" customHeight="false" outlineLevel="0" collapsed="false">
      <c r="A23" s="2" t="s">
        <v>100</v>
      </c>
      <c r="B23" s="3" t="s">
        <v>96</v>
      </c>
      <c r="C23" s="4" t="s">
        <v>101</v>
      </c>
      <c r="D23" s="8" t="s">
        <v>17</v>
      </c>
      <c r="E23" s="4" t="s">
        <v>102</v>
      </c>
      <c r="F23" s="4" t="s">
        <v>103</v>
      </c>
      <c r="G23" s="6" t="n">
        <v>1</v>
      </c>
      <c r="H23" s="7" t="s">
        <v>20</v>
      </c>
    </row>
    <row r="24" customFormat="false" ht="15" hidden="false" customHeight="false" outlineLevel="0" collapsed="false">
      <c r="A24" s="2" t="s">
        <v>104</v>
      </c>
      <c r="B24" s="3" t="s">
        <v>96</v>
      </c>
      <c r="C24" s="4" t="s">
        <v>105</v>
      </c>
      <c r="D24" s="9" t="s">
        <v>31</v>
      </c>
      <c r="E24" s="4" t="s">
        <v>106</v>
      </c>
      <c r="F24" s="4" t="s">
        <v>107</v>
      </c>
      <c r="G24" s="6" t="n">
        <v>0</v>
      </c>
      <c r="H24" s="7" t="s">
        <v>34</v>
      </c>
    </row>
    <row r="25" customFormat="false" ht="23.85" hidden="false" customHeight="false" outlineLevel="0" collapsed="false">
      <c r="A25" s="2" t="s">
        <v>108</v>
      </c>
      <c r="B25" s="3" t="s">
        <v>96</v>
      </c>
      <c r="C25" s="4" t="s">
        <v>109</v>
      </c>
      <c r="D25" s="8" t="s">
        <v>17</v>
      </c>
      <c r="E25" s="4" t="s">
        <v>110</v>
      </c>
      <c r="F25" s="4" t="s">
        <v>111</v>
      </c>
      <c r="G25" s="6" t="n">
        <v>2</v>
      </c>
      <c r="H25" s="7" t="s">
        <v>14</v>
      </c>
    </row>
    <row r="26" customFormat="false" ht="15" hidden="false" customHeight="false" outlineLevel="0" collapsed="false">
      <c r="A26" s="2" t="s">
        <v>112</v>
      </c>
      <c r="B26" s="3" t="s">
        <v>96</v>
      </c>
      <c r="C26" s="4" t="s">
        <v>113</v>
      </c>
      <c r="D26" s="9" t="s">
        <v>31</v>
      </c>
      <c r="E26" s="4" t="s">
        <v>114</v>
      </c>
      <c r="F26" s="4" t="s">
        <v>115</v>
      </c>
      <c r="G26" s="6" t="n">
        <v>0</v>
      </c>
      <c r="H26" s="7" t="s">
        <v>34</v>
      </c>
    </row>
    <row r="27" customFormat="false" ht="46.25" hidden="false" customHeight="false" outlineLevel="0" collapsed="false">
      <c r="A27" s="2" t="s">
        <v>116</v>
      </c>
      <c r="B27" s="3" t="s">
        <v>96</v>
      </c>
      <c r="C27" s="4" t="s">
        <v>117</v>
      </c>
      <c r="D27" s="8" t="s">
        <v>17</v>
      </c>
      <c r="E27" s="4" t="s">
        <v>118</v>
      </c>
      <c r="F27" s="4" t="s">
        <v>119</v>
      </c>
      <c r="G27" s="6" t="n">
        <v>2</v>
      </c>
      <c r="H27" s="7" t="s">
        <v>14</v>
      </c>
    </row>
    <row r="28" customFormat="false" ht="23.85" hidden="false" customHeight="false" outlineLevel="0" collapsed="false">
      <c r="A28" s="2" t="s">
        <v>120</v>
      </c>
      <c r="B28" s="3" t="s">
        <v>96</v>
      </c>
      <c r="C28" s="4" t="s">
        <v>121</v>
      </c>
      <c r="D28" s="8" t="s">
        <v>17</v>
      </c>
      <c r="E28" s="4" t="s">
        <v>122</v>
      </c>
      <c r="F28" s="4" t="s">
        <v>123</v>
      </c>
      <c r="G28" s="6" t="n">
        <v>0.5</v>
      </c>
      <c r="H28" s="7" t="s">
        <v>14</v>
      </c>
    </row>
    <row r="29" customFormat="false" ht="15" hidden="false" customHeight="false" outlineLevel="0" collapsed="false">
      <c r="A29" s="2" t="s">
        <v>124</v>
      </c>
      <c r="B29" s="3" t="s">
        <v>96</v>
      </c>
      <c r="C29" s="4" t="s">
        <v>125</v>
      </c>
      <c r="D29" s="9" t="s">
        <v>31</v>
      </c>
      <c r="E29" s="4" t="s">
        <v>126</v>
      </c>
      <c r="F29" s="4" t="s">
        <v>127</v>
      </c>
      <c r="G29" s="6" t="n">
        <v>0</v>
      </c>
      <c r="H29" s="7" t="s">
        <v>34</v>
      </c>
    </row>
    <row r="30" customFormat="false" ht="23.85" hidden="false" customHeight="false" outlineLevel="0" collapsed="false">
      <c r="A30" s="2" t="s">
        <v>128</v>
      </c>
      <c r="B30" s="3" t="s">
        <v>96</v>
      </c>
      <c r="C30" s="4" t="s">
        <v>129</v>
      </c>
      <c r="D30" s="9" t="s">
        <v>31</v>
      </c>
      <c r="E30" s="4" t="s">
        <v>130</v>
      </c>
      <c r="F30" s="4" t="s">
        <v>131</v>
      </c>
      <c r="G30" s="6" t="n">
        <v>0.3</v>
      </c>
      <c r="H30" s="7" t="s">
        <v>20</v>
      </c>
    </row>
    <row r="31" customFormat="false" ht="15" hidden="false" customHeight="false" outlineLevel="0" collapsed="false">
      <c r="A31" s="2" t="s">
        <v>132</v>
      </c>
      <c r="B31" s="3" t="s">
        <v>96</v>
      </c>
      <c r="C31" s="4" t="s">
        <v>133</v>
      </c>
      <c r="D31" s="9" t="s">
        <v>31</v>
      </c>
      <c r="E31" s="4" t="s">
        <v>134</v>
      </c>
      <c r="F31" s="4" t="s">
        <v>135</v>
      </c>
      <c r="G31" s="6" t="n">
        <v>0</v>
      </c>
      <c r="H31" s="7" t="s">
        <v>34</v>
      </c>
    </row>
    <row r="32" customFormat="false" ht="23.85" hidden="false" customHeight="false" outlineLevel="0" collapsed="false">
      <c r="A32" s="2" t="s">
        <v>136</v>
      </c>
      <c r="B32" s="3" t="s">
        <v>96</v>
      </c>
      <c r="C32" s="4" t="s">
        <v>137</v>
      </c>
      <c r="D32" s="9" t="s">
        <v>31</v>
      </c>
      <c r="E32" s="4" t="s">
        <v>138</v>
      </c>
      <c r="F32" s="4" t="s">
        <v>139</v>
      </c>
      <c r="G32" s="6" t="n">
        <v>0</v>
      </c>
      <c r="H32" s="7" t="s">
        <v>34</v>
      </c>
    </row>
    <row r="33" customFormat="false" ht="23.85" hidden="false" customHeight="false" outlineLevel="0" collapsed="false">
      <c r="A33" s="2" t="s">
        <v>140</v>
      </c>
      <c r="B33" s="3" t="s">
        <v>141</v>
      </c>
      <c r="C33" s="4" t="s">
        <v>142</v>
      </c>
      <c r="D33" s="8" t="s">
        <v>17</v>
      </c>
      <c r="E33" s="4" t="s">
        <v>143</v>
      </c>
      <c r="F33" s="4" t="s">
        <v>144</v>
      </c>
      <c r="G33" s="6" t="n">
        <v>3</v>
      </c>
      <c r="H33" s="7" t="s">
        <v>14</v>
      </c>
    </row>
    <row r="34" customFormat="false" ht="23.85" hidden="false" customHeight="false" outlineLevel="0" collapsed="false">
      <c r="A34" s="2" t="s">
        <v>145</v>
      </c>
      <c r="B34" s="3" t="s">
        <v>141</v>
      </c>
      <c r="C34" s="4" t="s">
        <v>146</v>
      </c>
      <c r="D34" s="5" t="s">
        <v>11</v>
      </c>
      <c r="E34" s="4" t="s">
        <v>69</v>
      </c>
      <c r="F34" s="4" t="s">
        <v>147</v>
      </c>
      <c r="G34" s="6" t="n">
        <v>3</v>
      </c>
      <c r="H34" s="7" t="s">
        <v>14</v>
      </c>
    </row>
    <row r="35" customFormat="false" ht="35.05" hidden="false" customHeight="false" outlineLevel="0" collapsed="false">
      <c r="A35" s="2" t="s">
        <v>148</v>
      </c>
      <c r="B35" s="3" t="s">
        <v>141</v>
      </c>
      <c r="C35" s="4" t="s">
        <v>149</v>
      </c>
      <c r="D35" s="9" t="s">
        <v>31</v>
      </c>
      <c r="E35" s="4" t="s">
        <v>150</v>
      </c>
      <c r="F35" s="4" t="s">
        <v>151</v>
      </c>
      <c r="G35" s="6" t="n">
        <v>0</v>
      </c>
      <c r="H35" s="7" t="s">
        <v>34</v>
      </c>
    </row>
    <row r="36" customFormat="false" ht="23.85" hidden="false" customHeight="false" outlineLevel="0" collapsed="false">
      <c r="A36" s="2" t="s">
        <v>152</v>
      </c>
      <c r="B36" s="3" t="s">
        <v>141</v>
      </c>
      <c r="C36" s="4" t="s">
        <v>153</v>
      </c>
      <c r="D36" s="8" t="s">
        <v>17</v>
      </c>
      <c r="E36" s="4" t="s">
        <v>154</v>
      </c>
      <c r="F36" s="4" t="s">
        <v>155</v>
      </c>
      <c r="G36" s="6" t="n">
        <v>0.5</v>
      </c>
      <c r="H36" s="7" t="s">
        <v>14</v>
      </c>
    </row>
    <row r="37" customFormat="false" ht="23.85" hidden="false" customHeight="false" outlineLevel="0" collapsed="false">
      <c r="A37" s="2" t="s">
        <v>156</v>
      </c>
      <c r="B37" s="3" t="s">
        <v>141</v>
      </c>
      <c r="C37" s="4" t="s">
        <v>157</v>
      </c>
      <c r="D37" s="8" t="s">
        <v>17</v>
      </c>
      <c r="E37" s="4" t="s">
        <v>158</v>
      </c>
      <c r="F37" s="4" t="s">
        <v>159</v>
      </c>
      <c r="G37" s="6" t="n">
        <v>1.5</v>
      </c>
      <c r="H37" s="7" t="s">
        <v>14</v>
      </c>
    </row>
    <row r="38" customFormat="false" ht="46.25" hidden="false" customHeight="false" outlineLevel="0" collapsed="false">
      <c r="A38" s="2" t="s">
        <v>160</v>
      </c>
      <c r="B38" s="3" t="s">
        <v>141</v>
      </c>
      <c r="C38" s="4" t="s">
        <v>161</v>
      </c>
      <c r="D38" s="8" t="s">
        <v>17</v>
      </c>
      <c r="E38" s="4" t="s">
        <v>162</v>
      </c>
      <c r="F38" s="4" t="s">
        <v>163</v>
      </c>
      <c r="G38" s="6" t="n">
        <v>2.5</v>
      </c>
      <c r="H38" s="7" t="s">
        <v>14</v>
      </c>
    </row>
    <row r="39" customFormat="false" ht="23.85" hidden="false" customHeight="false" outlineLevel="0" collapsed="false">
      <c r="A39" s="2" t="s">
        <v>164</v>
      </c>
      <c r="B39" s="3" t="s">
        <v>141</v>
      </c>
      <c r="C39" s="4" t="s">
        <v>165</v>
      </c>
      <c r="D39" s="5" t="s">
        <v>11</v>
      </c>
      <c r="E39" s="4" t="s">
        <v>69</v>
      </c>
      <c r="F39" s="4" t="s">
        <v>166</v>
      </c>
      <c r="G39" s="6" t="n">
        <v>5</v>
      </c>
      <c r="H39" s="7" t="s">
        <v>20</v>
      </c>
    </row>
    <row r="40" customFormat="false" ht="15" hidden="false" customHeight="false" outlineLevel="0" collapsed="false">
      <c r="A40" s="2" t="s">
        <v>167</v>
      </c>
      <c r="B40" s="3" t="s">
        <v>141</v>
      </c>
      <c r="C40" s="4" t="s">
        <v>168</v>
      </c>
      <c r="D40" s="5" t="s">
        <v>11</v>
      </c>
      <c r="E40" s="4" t="s">
        <v>169</v>
      </c>
      <c r="F40" s="4" t="s">
        <v>170</v>
      </c>
      <c r="G40" s="6" t="n">
        <v>3</v>
      </c>
      <c r="H40" s="7" t="s">
        <v>20</v>
      </c>
    </row>
    <row r="41" customFormat="false" ht="15" hidden="false" customHeight="false" outlineLevel="0" collapsed="false">
      <c r="A41" s="2" t="s">
        <v>171</v>
      </c>
      <c r="B41" s="3" t="s">
        <v>141</v>
      </c>
      <c r="C41" s="4" t="s">
        <v>172</v>
      </c>
      <c r="D41" s="5" t="s">
        <v>11</v>
      </c>
      <c r="E41" s="4" t="s">
        <v>69</v>
      </c>
      <c r="F41" s="4" t="s">
        <v>173</v>
      </c>
      <c r="G41" s="6" t="n">
        <v>2</v>
      </c>
      <c r="H41" s="7" t="s">
        <v>20</v>
      </c>
    </row>
    <row r="42" customFormat="false" ht="23.85" hidden="false" customHeight="false" outlineLevel="0" collapsed="false">
      <c r="A42" s="2" t="s">
        <v>174</v>
      </c>
      <c r="B42" s="3" t="s">
        <v>141</v>
      </c>
      <c r="C42" s="4" t="s">
        <v>175</v>
      </c>
      <c r="D42" s="9" t="s">
        <v>31</v>
      </c>
      <c r="E42" s="4" t="s">
        <v>176</v>
      </c>
      <c r="F42" s="4" t="s">
        <v>177</v>
      </c>
      <c r="G42" s="6" t="n">
        <v>0</v>
      </c>
      <c r="H42" s="7" t="s">
        <v>34</v>
      </c>
    </row>
    <row r="43" customFormat="false" ht="23.85" hidden="false" customHeight="false" outlineLevel="0" collapsed="false">
      <c r="A43" s="2" t="s">
        <v>178</v>
      </c>
      <c r="B43" s="3" t="s">
        <v>141</v>
      </c>
      <c r="C43" s="4" t="s">
        <v>179</v>
      </c>
      <c r="D43" s="9" t="s">
        <v>31</v>
      </c>
      <c r="E43" s="4" t="s">
        <v>180</v>
      </c>
      <c r="F43" s="4" t="s">
        <v>181</v>
      </c>
      <c r="G43" s="6" t="n">
        <v>0</v>
      </c>
      <c r="H43" s="7" t="s">
        <v>34</v>
      </c>
    </row>
    <row r="44" customFormat="false" ht="35.05" hidden="false" customHeight="false" outlineLevel="0" collapsed="false">
      <c r="A44" s="2" t="s">
        <v>182</v>
      </c>
      <c r="B44" s="3" t="s">
        <v>183</v>
      </c>
      <c r="C44" s="4" t="s">
        <v>184</v>
      </c>
      <c r="D44" s="5" t="s">
        <v>11</v>
      </c>
      <c r="E44" s="4" t="s">
        <v>69</v>
      </c>
      <c r="F44" s="4" t="s">
        <v>185</v>
      </c>
      <c r="G44" s="6" t="n">
        <v>1.5</v>
      </c>
      <c r="H44" s="7" t="s">
        <v>14</v>
      </c>
    </row>
    <row r="45" customFormat="false" ht="15" hidden="false" customHeight="false" outlineLevel="0" collapsed="false">
      <c r="A45" s="2" t="s">
        <v>186</v>
      </c>
      <c r="B45" s="3" t="s">
        <v>183</v>
      </c>
      <c r="C45" s="4" t="s">
        <v>187</v>
      </c>
      <c r="D45" s="9" t="s">
        <v>31</v>
      </c>
      <c r="E45" s="4" t="s">
        <v>188</v>
      </c>
      <c r="F45" s="4" t="s">
        <v>189</v>
      </c>
      <c r="G45" s="6" t="n">
        <v>0</v>
      </c>
      <c r="H45" s="7" t="s">
        <v>34</v>
      </c>
    </row>
    <row r="46" customFormat="false" ht="23.85" hidden="false" customHeight="false" outlineLevel="0" collapsed="false">
      <c r="A46" s="2" t="s">
        <v>190</v>
      </c>
      <c r="B46" s="3" t="s">
        <v>183</v>
      </c>
      <c r="C46" s="4" t="s">
        <v>191</v>
      </c>
      <c r="D46" s="9" t="s">
        <v>31</v>
      </c>
      <c r="E46" s="4" t="s">
        <v>192</v>
      </c>
      <c r="F46" s="4" t="s">
        <v>193</v>
      </c>
      <c r="G46" s="6" t="n">
        <v>0.3</v>
      </c>
      <c r="H46" s="7" t="s">
        <v>20</v>
      </c>
    </row>
    <row r="47" customFormat="false" ht="23.85" hidden="false" customHeight="false" outlineLevel="0" collapsed="false">
      <c r="A47" s="2" t="s">
        <v>194</v>
      </c>
      <c r="B47" s="3" t="s">
        <v>183</v>
      </c>
      <c r="C47" s="4" t="s">
        <v>195</v>
      </c>
      <c r="D47" s="8" t="s">
        <v>17</v>
      </c>
      <c r="E47" s="4" t="s">
        <v>196</v>
      </c>
      <c r="F47" s="4" t="s">
        <v>197</v>
      </c>
      <c r="G47" s="6" t="n">
        <v>4</v>
      </c>
      <c r="H47" s="7" t="s">
        <v>20</v>
      </c>
    </row>
    <row r="48" customFormat="false" ht="23.85" hidden="false" customHeight="false" outlineLevel="0" collapsed="false">
      <c r="A48" s="2" t="s">
        <v>198</v>
      </c>
      <c r="B48" s="3" t="s">
        <v>183</v>
      </c>
      <c r="C48" s="4" t="s">
        <v>199</v>
      </c>
      <c r="D48" s="8" t="s">
        <v>17</v>
      </c>
      <c r="E48" s="4" t="s">
        <v>200</v>
      </c>
      <c r="F48" s="4" t="s">
        <v>201</v>
      </c>
      <c r="G48" s="6" t="n">
        <v>1.5</v>
      </c>
      <c r="H48" s="7" t="s">
        <v>20</v>
      </c>
    </row>
    <row r="49" customFormat="false" ht="23.85" hidden="false" customHeight="false" outlineLevel="0" collapsed="false">
      <c r="A49" s="2" t="s">
        <v>202</v>
      </c>
      <c r="B49" s="3" t="s">
        <v>183</v>
      </c>
      <c r="C49" s="4" t="s">
        <v>203</v>
      </c>
      <c r="D49" s="8" t="s">
        <v>17</v>
      </c>
      <c r="E49" s="4" t="s">
        <v>204</v>
      </c>
      <c r="F49" s="4" t="s">
        <v>205</v>
      </c>
      <c r="G49" s="6" t="n">
        <v>2</v>
      </c>
      <c r="H49" s="7" t="s">
        <v>20</v>
      </c>
    </row>
    <row r="50" customFormat="false" ht="23.85" hidden="false" customHeight="false" outlineLevel="0" collapsed="false">
      <c r="A50" s="2" t="s">
        <v>206</v>
      </c>
      <c r="B50" s="3" t="s">
        <v>183</v>
      </c>
      <c r="C50" s="4" t="s">
        <v>207</v>
      </c>
      <c r="D50" s="5" t="s">
        <v>11</v>
      </c>
      <c r="E50" s="4" t="s">
        <v>208</v>
      </c>
      <c r="F50" s="4" t="s">
        <v>209</v>
      </c>
      <c r="G50" s="6" t="n">
        <v>5</v>
      </c>
      <c r="H50" s="7" t="s">
        <v>20</v>
      </c>
    </row>
    <row r="51" customFormat="false" ht="23.85" hidden="false" customHeight="false" outlineLevel="0" collapsed="false">
      <c r="A51" s="2" t="s">
        <v>210</v>
      </c>
      <c r="B51" s="3" t="s">
        <v>211</v>
      </c>
      <c r="C51" s="4" t="s">
        <v>212</v>
      </c>
      <c r="D51" s="9" t="s">
        <v>31</v>
      </c>
      <c r="E51" s="4" t="s">
        <v>213</v>
      </c>
      <c r="F51" s="4" t="s">
        <v>214</v>
      </c>
      <c r="G51" s="6" t="n">
        <v>0</v>
      </c>
      <c r="H51" s="7" t="s">
        <v>34</v>
      </c>
    </row>
    <row r="52" customFormat="false" ht="23.85" hidden="false" customHeight="false" outlineLevel="0" collapsed="false">
      <c r="A52" s="2" t="s">
        <v>215</v>
      </c>
      <c r="B52" s="3" t="s">
        <v>216</v>
      </c>
      <c r="C52" s="4" t="s">
        <v>217</v>
      </c>
      <c r="D52" s="9" t="s">
        <v>31</v>
      </c>
      <c r="E52" s="4" t="s">
        <v>218</v>
      </c>
      <c r="F52" s="4" t="s">
        <v>219</v>
      </c>
      <c r="G52" s="6" t="n">
        <v>0</v>
      </c>
      <c r="H52" s="7" t="s">
        <v>34</v>
      </c>
    </row>
    <row r="53" customFormat="false" ht="15" hidden="false" customHeight="false" outlineLevel="0" collapsed="false">
      <c r="A53" s="2" t="s">
        <v>220</v>
      </c>
      <c r="B53" s="3" t="s">
        <v>216</v>
      </c>
      <c r="C53" s="4" t="s">
        <v>221</v>
      </c>
      <c r="D53" s="9" t="s">
        <v>31</v>
      </c>
      <c r="E53" s="4" t="s">
        <v>222</v>
      </c>
      <c r="F53" s="4" t="s">
        <v>223</v>
      </c>
      <c r="G53" s="6" t="n">
        <v>0</v>
      </c>
      <c r="H53" s="7" t="s">
        <v>34</v>
      </c>
    </row>
    <row r="54" customFormat="false" ht="23.85" hidden="false" customHeight="false" outlineLevel="0" collapsed="false">
      <c r="A54" s="2" t="s">
        <v>224</v>
      </c>
      <c r="B54" s="3" t="s">
        <v>216</v>
      </c>
      <c r="C54" s="4" t="s">
        <v>225</v>
      </c>
      <c r="D54" s="9" t="s">
        <v>31</v>
      </c>
      <c r="E54" s="4" t="s">
        <v>226</v>
      </c>
      <c r="F54" s="4" t="s">
        <v>227</v>
      </c>
      <c r="G54" s="6" t="n">
        <v>0</v>
      </c>
      <c r="H54" s="7" t="s">
        <v>34</v>
      </c>
    </row>
    <row r="55" customFormat="false" ht="15" hidden="false" customHeight="false" outlineLevel="0" collapsed="false">
      <c r="A55" s="2" t="s">
        <v>228</v>
      </c>
      <c r="B55" s="3" t="s">
        <v>216</v>
      </c>
      <c r="C55" s="4" t="s">
        <v>229</v>
      </c>
      <c r="D55" s="8" t="s">
        <v>17</v>
      </c>
      <c r="E55" s="4" t="s">
        <v>230</v>
      </c>
      <c r="F55" s="4" t="s">
        <v>231</v>
      </c>
      <c r="G55" s="6" t="n">
        <v>1</v>
      </c>
      <c r="H55" s="7" t="s">
        <v>20</v>
      </c>
    </row>
    <row r="56" customFormat="false" ht="23.85" hidden="false" customHeight="false" outlineLevel="0" collapsed="false">
      <c r="A56" s="2" t="s">
        <v>232</v>
      </c>
      <c r="B56" s="3" t="s">
        <v>216</v>
      </c>
      <c r="C56" s="4" t="s">
        <v>233</v>
      </c>
      <c r="D56" s="8" t="s">
        <v>17</v>
      </c>
      <c r="E56" s="4" t="s">
        <v>234</v>
      </c>
      <c r="F56" s="4" t="s">
        <v>235</v>
      </c>
      <c r="G56" s="6" t="n">
        <v>1</v>
      </c>
      <c r="H56" s="7" t="s">
        <v>14</v>
      </c>
    </row>
    <row r="57" customFormat="false" ht="23.85" hidden="false" customHeight="false" outlineLevel="0" collapsed="false">
      <c r="A57" s="2" t="s">
        <v>236</v>
      </c>
      <c r="B57" s="3" t="s">
        <v>216</v>
      </c>
      <c r="C57" s="4" t="s">
        <v>237</v>
      </c>
      <c r="D57" s="9" t="s">
        <v>31</v>
      </c>
      <c r="E57" s="4" t="s">
        <v>238</v>
      </c>
      <c r="F57" s="4" t="s">
        <v>239</v>
      </c>
      <c r="G57" s="6" t="n">
        <v>0</v>
      </c>
      <c r="H57" s="7" t="s">
        <v>34</v>
      </c>
    </row>
    <row r="58" customFormat="false" ht="15" hidden="false" customHeight="false" outlineLevel="0" collapsed="false">
      <c r="A58" s="2" t="s">
        <v>240</v>
      </c>
      <c r="B58" s="3" t="s">
        <v>216</v>
      </c>
      <c r="C58" s="4" t="s">
        <v>241</v>
      </c>
      <c r="D58" s="9" t="s">
        <v>31</v>
      </c>
      <c r="E58" s="4" t="s">
        <v>242</v>
      </c>
      <c r="F58" s="4" t="s">
        <v>243</v>
      </c>
      <c r="G58" s="6" t="n">
        <v>0</v>
      </c>
      <c r="H58" s="7" t="s">
        <v>34</v>
      </c>
    </row>
    <row r="59" customFormat="false" ht="23.85" hidden="false" customHeight="false" outlineLevel="0" collapsed="false">
      <c r="A59" s="2" t="s">
        <v>244</v>
      </c>
      <c r="B59" s="3" t="s">
        <v>216</v>
      </c>
      <c r="C59" s="4" t="s">
        <v>245</v>
      </c>
      <c r="D59" s="8" t="s">
        <v>17</v>
      </c>
      <c r="E59" s="4" t="s">
        <v>246</v>
      </c>
      <c r="F59" s="4" t="s">
        <v>247</v>
      </c>
      <c r="G59" s="6" t="n">
        <v>3</v>
      </c>
      <c r="H59" s="7" t="s">
        <v>20</v>
      </c>
    </row>
    <row r="60" customFormat="false" ht="15" hidden="false" customHeight="false" outlineLevel="0" collapsed="false">
      <c r="A60" s="2" t="s">
        <v>248</v>
      </c>
      <c r="B60" s="3" t="s">
        <v>216</v>
      </c>
      <c r="C60" s="4" t="s">
        <v>249</v>
      </c>
      <c r="D60" s="9" t="s">
        <v>31</v>
      </c>
      <c r="E60" s="4" t="s">
        <v>250</v>
      </c>
      <c r="F60" s="4" t="s">
        <v>251</v>
      </c>
      <c r="G60" s="6" t="n">
        <v>0</v>
      </c>
      <c r="H60" s="7" t="s">
        <v>34</v>
      </c>
    </row>
    <row r="61" customFormat="false" ht="23.85" hidden="false" customHeight="false" outlineLevel="0" collapsed="false">
      <c r="A61" s="2" t="s">
        <v>252</v>
      </c>
      <c r="B61" s="3" t="s">
        <v>216</v>
      </c>
      <c r="C61" s="4" t="s">
        <v>253</v>
      </c>
      <c r="D61" s="5" t="s">
        <v>11</v>
      </c>
      <c r="E61" s="4" t="s">
        <v>254</v>
      </c>
      <c r="F61" s="4" t="s">
        <v>255</v>
      </c>
      <c r="G61" s="6" t="n">
        <v>3</v>
      </c>
      <c r="H61" s="7" t="s">
        <v>20</v>
      </c>
    </row>
    <row r="62" customFormat="false" ht="23.85" hidden="false" customHeight="false" outlineLevel="0" collapsed="false">
      <c r="A62" s="2" t="s">
        <v>256</v>
      </c>
      <c r="B62" s="3" t="s">
        <v>216</v>
      </c>
      <c r="C62" s="4" t="s">
        <v>257</v>
      </c>
      <c r="D62" s="9" t="s">
        <v>31</v>
      </c>
      <c r="E62" s="4" t="s">
        <v>258</v>
      </c>
      <c r="F62" s="4" t="s">
        <v>259</v>
      </c>
      <c r="G62" s="6" t="n">
        <v>0</v>
      </c>
      <c r="H62" s="7" t="s">
        <v>34</v>
      </c>
    </row>
    <row r="63" customFormat="false" ht="15" hidden="false" customHeight="false" outlineLevel="0" collapsed="false">
      <c r="A63" s="2" t="s">
        <v>260</v>
      </c>
      <c r="B63" s="3" t="s">
        <v>216</v>
      </c>
      <c r="C63" s="4" t="s">
        <v>261</v>
      </c>
      <c r="D63" s="9" t="s">
        <v>31</v>
      </c>
      <c r="E63" s="4" t="s">
        <v>262</v>
      </c>
      <c r="F63" s="4" t="s">
        <v>263</v>
      </c>
      <c r="G63" s="6" t="n">
        <v>0</v>
      </c>
      <c r="H63" s="7" t="s">
        <v>34</v>
      </c>
    </row>
    <row r="64" customFormat="false" ht="23.85" hidden="false" customHeight="false" outlineLevel="0" collapsed="false">
      <c r="A64" s="2" t="s">
        <v>264</v>
      </c>
      <c r="B64" s="3" t="s">
        <v>216</v>
      </c>
      <c r="C64" s="4" t="s">
        <v>265</v>
      </c>
      <c r="D64" s="8" t="s">
        <v>17</v>
      </c>
      <c r="E64" s="4" t="s">
        <v>266</v>
      </c>
      <c r="F64" s="4" t="s">
        <v>267</v>
      </c>
      <c r="G64" s="6" t="n">
        <v>2</v>
      </c>
      <c r="H64" s="7" t="s">
        <v>14</v>
      </c>
    </row>
    <row r="65" customFormat="false" ht="23.85" hidden="false" customHeight="false" outlineLevel="0" collapsed="false">
      <c r="A65" s="2" t="s">
        <v>268</v>
      </c>
      <c r="B65" s="3" t="s">
        <v>216</v>
      </c>
      <c r="C65" s="4" t="s">
        <v>269</v>
      </c>
      <c r="D65" s="9" t="s">
        <v>31</v>
      </c>
      <c r="E65" s="4" t="s">
        <v>270</v>
      </c>
      <c r="F65" s="4" t="s">
        <v>271</v>
      </c>
      <c r="G65" s="6" t="n">
        <v>0</v>
      </c>
      <c r="H65" s="7" t="s">
        <v>34</v>
      </c>
    </row>
    <row r="66" customFormat="false" ht="23.85" hidden="false" customHeight="false" outlineLevel="0" collapsed="false">
      <c r="A66" s="2" t="s">
        <v>272</v>
      </c>
      <c r="B66" s="3" t="s">
        <v>216</v>
      </c>
      <c r="C66" s="4" t="s">
        <v>273</v>
      </c>
      <c r="D66" s="9" t="s">
        <v>31</v>
      </c>
      <c r="E66" s="4" t="s">
        <v>274</v>
      </c>
      <c r="F66" s="4" t="s">
        <v>275</v>
      </c>
      <c r="G66" s="6" t="n">
        <v>0</v>
      </c>
      <c r="H66" s="7" t="s">
        <v>34</v>
      </c>
    </row>
    <row r="67" customFormat="false" ht="23.85" hidden="false" customHeight="false" outlineLevel="0" collapsed="false">
      <c r="A67" s="2" t="s">
        <v>276</v>
      </c>
      <c r="B67" s="3" t="s">
        <v>216</v>
      </c>
      <c r="C67" s="4" t="s">
        <v>277</v>
      </c>
      <c r="D67" s="8" t="s">
        <v>17</v>
      </c>
      <c r="E67" s="4" t="s">
        <v>278</v>
      </c>
      <c r="F67" s="4" t="s">
        <v>279</v>
      </c>
      <c r="G67" s="6" t="n">
        <v>4</v>
      </c>
      <c r="H67" s="7" t="s">
        <v>20</v>
      </c>
    </row>
    <row r="68" customFormat="false" ht="15" hidden="false" customHeight="false" outlineLevel="0" collapsed="false">
      <c r="A68" s="2" t="s">
        <v>280</v>
      </c>
      <c r="B68" s="3" t="s">
        <v>216</v>
      </c>
      <c r="C68" s="4" t="s">
        <v>281</v>
      </c>
      <c r="D68" s="5" t="s">
        <v>11</v>
      </c>
      <c r="E68" s="4" t="s">
        <v>69</v>
      </c>
      <c r="F68" s="4" t="s">
        <v>282</v>
      </c>
      <c r="G68" s="6" t="n">
        <v>4</v>
      </c>
      <c r="H68" s="7" t="s">
        <v>20</v>
      </c>
    </row>
    <row r="69" customFormat="false" ht="23.85" hidden="false" customHeight="false" outlineLevel="0" collapsed="false">
      <c r="A69" s="2" t="s">
        <v>283</v>
      </c>
      <c r="B69" s="3" t="s">
        <v>216</v>
      </c>
      <c r="C69" s="4" t="s">
        <v>284</v>
      </c>
      <c r="D69" s="9" t="s">
        <v>31</v>
      </c>
      <c r="E69" s="4" t="s">
        <v>285</v>
      </c>
      <c r="F69" s="4" t="s">
        <v>286</v>
      </c>
      <c r="G69" s="6" t="n">
        <v>0</v>
      </c>
      <c r="H69" s="7" t="s">
        <v>34</v>
      </c>
    </row>
    <row r="70" customFormat="false" ht="23.85" hidden="false" customHeight="false" outlineLevel="0" collapsed="false">
      <c r="A70" s="2" t="s">
        <v>287</v>
      </c>
      <c r="B70" s="3" t="s">
        <v>216</v>
      </c>
      <c r="C70" s="4" t="s">
        <v>288</v>
      </c>
      <c r="D70" s="9" t="s">
        <v>31</v>
      </c>
      <c r="E70" s="4" t="s">
        <v>289</v>
      </c>
      <c r="F70" s="4" t="s">
        <v>290</v>
      </c>
      <c r="G70" s="6" t="n">
        <v>0</v>
      </c>
      <c r="H70" s="7" t="s">
        <v>34</v>
      </c>
    </row>
    <row r="71" customFormat="false" ht="15" hidden="false" customHeight="false" outlineLevel="0" collapsed="false">
      <c r="A71" s="2" t="s">
        <v>291</v>
      </c>
      <c r="B71" s="3" t="s">
        <v>211</v>
      </c>
      <c r="C71" s="4" t="s">
        <v>292</v>
      </c>
      <c r="D71" s="9" t="s">
        <v>31</v>
      </c>
      <c r="E71" s="4" t="s">
        <v>293</v>
      </c>
      <c r="F71" s="4" t="s">
        <v>294</v>
      </c>
      <c r="G71" s="6" t="n">
        <v>0</v>
      </c>
      <c r="H71" s="7" t="s">
        <v>34</v>
      </c>
    </row>
    <row r="72" customFormat="false" ht="15" hidden="false" customHeight="false" outlineLevel="0" collapsed="false">
      <c r="A72" s="2" t="s">
        <v>295</v>
      </c>
      <c r="B72" s="3" t="s">
        <v>211</v>
      </c>
      <c r="C72" s="4" t="s">
        <v>296</v>
      </c>
      <c r="D72" s="9" t="s">
        <v>31</v>
      </c>
      <c r="E72" s="4" t="s">
        <v>213</v>
      </c>
      <c r="F72" s="4" t="s">
        <v>297</v>
      </c>
      <c r="G72" s="6" t="n">
        <v>0</v>
      </c>
      <c r="H72" s="7" t="s">
        <v>34</v>
      </c>
    </row>
    <row r="73" customFormat="false" ht="15" hidden="false" customHeight="false" outlineLevel="0" collapsed="false">
      <c r="A73" s="2" t="s">
        <v>298</v>
      </c>
      <c r="B73" s="3" t="s">
        <v>211</v>
      </c>
      <c r="C73" s="4" t="s">
        <v>299</v>
      </c>
      <c r="D73" s="9" t="s">
        <v>31</v>
      </c>
      <c r="E73" s="4" t="s">
        <v>300</v>
      </c>
      <c r="F73" s="4" t="s">
        <v>301</v>
      </c>
      <c r="G73" s="6" t="n">
        <v>0</v>
      </c>
      <c r="H73" s="7" t="s">
        <v>34</v>
      </c>
    </row>
    <row r="74" customFormat="false" ht="15" hidden="false" customHeight="false" outlineLevel="0" collapsed="false">
      <c r="A74" s="2" t="s">
        <v>302</v>
      </c>
      <c r="B74" s="3" t="s">
        <v>211</v>
      </c>
      <c r="C74" s="4" t="s">
        <v>303</v>
      </c>
      <c r="D74" s="9" t="s">
        <v>31</v>
      </c>
      <c r="E74" s="4" t="s">
        <v>213</v>
      </c>
      <c r="F74" s="4" t="s">
        <v>304</v>
      </c>
      <c r="G74" s="6" t="n">
        <v>0</v>
      </c>
      <c r="H74" s="7" t="s">
        <v>34</v>
      </c>
    </row>
    <row r="75" customFormat="false" ht="15" hidden="false" customHeight="false" outlineLevel="0" collapsed="false">
      <c r="A75" s="2" t="s">
        <v>305</v>
      </c>
      <c r="B75" s="3" t="s">
        <v>306</v>
      </c>
      <c r="C75" s="4" t="s">
        <v>307</v>
      </c>
      <c r="D75" s="8" t="s">
        <v>17</v>
      </c>
      <c r="E75" s="4" t="s">
        <v>308</v>
      </c>
      <c r="F75" s="4" t="s">
        <v>309</v>
      </c>
      <c r="G75" s="6" t="n">
        <v>1</v>
      </c>
      <c r="H75" s="7" t="s">
        <v>20</v>
      </c>
    </row>
    <row r="76" customFormat="false" ht="15" hidden="false" customHeight="false" outlineLevel="0" collapsed="false">
      <c r="A76" s="2" t="s">
        <v>310</v>
      </c>
      <c r="B76" s="3" t="s">
        <v>306</v>
      </c>
      <c r="C76" s="4" t="s">
        <v>311</v>
      </c>
      <c r="D76" s="9" t="s">
        <v>31</v>
      </c>
      <c r="E76" s="4" t="s">
        <v>312</v>
      </c>
      <c r="F76" s="4" t="s">
        <v>313</v>
      </c>
      <c r="G76" s="6" t="n">
        <v>0</v>
      </c>
      <c r="H76" s="7" t="s">
        <v>34</v>
      </c>
    </row>
    <row r="77" customFormat="false" ht="23.85" hidden="false" customHeight="false" outlineLevel="0" collapsed="false">
      <c r="A77" s="2" t="s">
        <v>314</v>
      </c>
      <c r="B77" s="3" t="s">
        <v>306</v>
      </c>
      <c r="C77" s="4" t="s">
        <v>315</v>
      </c>
      <c r="D77" s="8" t="s">
        <v>17</v>
      </c>
      <c r="E77" s="4" t="s">
        <v>316</v>
      </c>
      <c r="F77" s="4" t="s">
        <v>317</v>
      </c>
      <c r="G77" s="6" t="n">
        <v>1.5</v>
      </c>
      <c r="H77" s="7" t="s">
        <v>20</v>
      </c>
    </row>
    <row r="78" customFormat="false" ht="15" hidden="false" customHeight="false" outlineLevel="0" collapsed="false">
      <c r="A78" s="2" t="s">
        <v>318</v>
      </c>
      <c r="B78" s="3" t="s">
        <v>319</v>
      </c>
      <c r="C78" s="4" t="s">
        <v>320</v>
      </c>
      <c r="D78" s="9" t="s">
        <v>31</v>
      </c>
      <c r="E78" s="4" t="s">
        <v>321</v>
      </c>
      <c r="F78" s="4" t="s">
        <v>322</v>
      </c>
      <c r="G78" s="6" t="n">
        <v>0</v>
      </c>
      <c r="H78" s="7" t="s">
        <v>34</v>
      </c>
    </row>
    <row r="79" customFormat="false" ht="23.85" hidden="false" customHeight="false" outlineLevel="0" collapsed="false">
      <c r="A79" s="2" t="s">
        <v>323</v>
      </c>
      <c r="B79" s="3" t="s">
        <v>319</v>
      </c>
      <c r="C79" s="4" t="s">
        <v>324</v>
      </c>
      <c r="D79" s="9" t="s">
        <v>31</v>
      </c>
      <c r="E79" s="4" t="s">
        <v>325</v>
      </c>
      <c r="F79" s="4" t="s">
        <v>326</v>
      </c>
      <c r="G79" s="6" t="n">
        <v>0</v>
      </c>
      <c r="H79" s="7" t="s">
        <v>34</v>
      </c>
    </row>
    <row r="80" customFormat="false" ht="23.85" hidden="false" customHeight="false" outlineLevel="0" collapsed="false">
      <c r="A80" s="2" t="s">
        <v>327</v>
      </c>
      <c r="B80" s="3" t="s">
        <v>319</v>
      </c>
      <c r="C80" s="4" t="s">
        <v>328</v>
      </c>
      <c r="D80" s="8" t="s">
        <v>17</v>
      </c>
      <c r="E80" s="4" t="s">
        <v>329</v>
      </c>
      <c r="F80" s="4" t="s">
        <v>330</v>
      </c>
      <c r="G80" s="6" t="n">
        <v>2</v>
      </c>
      <c r="H80" s="7" t="s">
        <v>20</v>
      </c>
    </row>
    <row r="81" customFormat="false" ht="23.85" hidden="false" customHeight="false" outlineLevel="0" collapsed="false">
      <c r="A81" s="2" t="s">
        <v>331</v>
      </c>
      <c r="B81" s="3" t="s">
        <v>319</v>
      </c>
      <c r="C81" s="4" t="s">
        <v>332</v>
      </c>
      <c r="D81" s="8" t="s">
        <v>17</v>
      </c>
      <c r="E81" s="4" t="s">
        <v>333</v>
      </c>
      <c r="F81" s="4" t="s">
        <v>334</v>
      </c>
      <c r="G81" s="6" t="n">
        <v>2</v>
      </c>
      <c r="H81" s="7" t="s">
        <v>20</v>
      </c>
    </row>
    <row r="82" customFormat="false" ht="23.85" hidden="false" customHeight="false" outlineLevel="0" collapsed="false">
      <c r="A82" s="2" t="s">
        <v>335</v>
      </c>
      <c r="B82" s="3" t="s">
        <v>319</v>
      </c>
      <c r="C82" s="4" t="s">
        <v>336</v>
      </c>
      <c r="D82" s="9" t="s">
        <v>31</v>
      </c>
      <c r="E82" s="4" t="s">
        <v>337</v>
      </c>
      <c r="F82" s="4" t="s">
        <v>338</v>
      </c>
      <c r="G82" s="6" t="n">
        <v>0</v>
      </c>
      <c r="H82" s="7" t="s">
        <v>34</v>
      </c>
    </row>
    <row r="83" customFormat="false" ht="35.05" hidden="false" customHeight="false" outlineLevel="0" collapsed="false">
      <c r="A83" s="2" t="s">
        <v>339</v>
      </c>
      <c r="B83" s="3" t="s">
        <v>319</v>
      </c>
      <c r="C83" s="4" t="s">
        <v>340</v>
      </c>
      <c r="D83" s="8" t="s">
        <v>17</v>
      </c>
      <c r="E83" s="4" t="s">
        <v>341</v>
      </c>
      <c r="F83" s="4" t="s">
        <v>342</v>
      </c>
      <c r="G83" s="6" t="n">
        <v>2</v>
      </c>
      <c r="H83" s="7" t="s">
        <v>14</v>
      </c>
    </row>
    <row r="84" customFormat="false" ht="23.85" hidden="false" customHeight="false" outlineLevel="0" collapsed="false">
      <c r="A84" s="2" t="s">
        <v>343</v>
      </c>
      <c r="B84" s="3" t="s">
        <v>319</v>
      </c>
      <c r="C84" s="4" t="s">
        <v>344</v>
      </c>
      <c r="D84" s="8" t="s">
        <v>17</v>
      </c>
      <c r="E84" s="4" t="s">
        <v>345</v>
      </c>
      <c r="F84" s="4" t="s">
        <v>346</v>
      </c>
      <c r="G84" s="6" t="n">
        <v>2.5</v>
      </c>
      <c r="H84" s="7" t="s">
        <v>14</v>
      </c>
    </row>
    <row r="85" customFormat="false" ht="23.85" hidden="false" customHeight="false" outlineLevel="0" collapsed="false">
      <c r="A85" s="2" t="s">
        <v>347</v>
      </c>
      <c r="B85" s="3" t="s">
        <v>348</v>
      </c>
      <c r="C85" s="4" t="s">
        <v>349</v>
      </c>
      <c r="D85" s="8" t="s">
        <v>17</v>
      </c>
      <c r="E85" s="4" t="s">
        <v>350</v>
      </c>
      <c r="F85" s="4" t="s">
        <v>351</v>
      </c>
      <c r="G85" s="6" t="n">
        <v>1.5</v>
      </c>
      <c r="H85" s="7" t="s">
        <v>20</v>
      </c>
    </row>
    <row r="86" customFormat="false" ht="23.85" hidden="false" customHeight="false" outlineLevel="0" collapsed="false">
      <c r="A86" s="2" t="s">
        <v>352</v>
      </c>
      <c r="B86" s="3" t="s">
        <v>348</v>
      </c>
      <c r="C86" s="4" t="s">
        <v>353</v>
      </c>
      <c r="D86" s="8" t="s">
        <v>17</v>
      </c>
      <c r="E86" s="4" t="s">
        <v>354</v>
      </c>
      <c r="F86" s="4" t="s">
        <v>355</v>
      </c>
      <c r="G86" s="6" t="n">
        <v>4</v>
      </c>
      <c r="H86" s="7" t="s">
        <v>20</v>
      </c>
    </row>
    <row r="87" customFormat="false" ht="23.85" hidden="false" customHeight="false" outlineLevel="0" collapsed="false">
      <c r="A87" s="2" t="s">
        <v>356</v>
      </c>
      <c r="B87" s="3" t="s">
        <v>348</v>
      </c>
      <c r="C87" s="4" t="s">
        <v>357</v>
      </c>
      <c r="D87" s="9" t="s">
        <v>31</v>
      </c>
      <c r="E87" s="4" t="s">
        <v>358</v>
      </c>
      <c r="F87" s="4" t="s">
        <v>359</v>
      </c>
      <c r="G87" s="6" t="n">
        <v>0</v>
      </c>
      <c r="H87" s="7" t="s">
        <v>34</v>
      </c>
    </row>
    <row r="88" customFormat="false" ht="23.85" hidden="false" customHeight="false" outlineLevel="0" collapsed="false">
      <c r="A88" s="2" t="s">
        <v>360</v>
      </c>
      <c r="B88" s="3" t="s">
        <v>348</v>
      </c>
      <c r="C88" s="4" t="s">
        <v>361</v>
      </c>
      <c r="D88" s="5" t="s">
        <v>11</v>
      </c>
      <c r="E88" s="4" t="s">
        <v>362</v>
      </c>
      <c r="F88" s="4" t="s">
        <v>363</v>
      </c>
      <c r="G88" s="6" t="n">
        <v>6</v>
      </c>
      <c r="H88" s="7" t="s">
        <v>20</v>
      </c>
    </row>
    <row r="89" customFormat="false" ht="15" hidden="false" customHeight="false" outlineLevel="0" collapsed="false">
      <c r="A89" s="2" t="s">
        <v>364</v>
      </c>
      <c r="B89" s="3" t="s">
        <v>348</v>
      </c>
      <c r="C89" s="4" t="s">
        <v>365</v>
      </c>
      <c r="D89" s="9" t="s">
        <v>31</v>
      </c>
      <c r="E89" s="4" t="s">
        <v>366</v>
      </c>
      <c r="F89" s="4" t="s">
        <v>367</v>
      </c>
      <c r="G89" s="6" t="n">
        <v>0</v>
      </c>
      <c r="H89" s="7" t="s">
        <v>34</v>
      </c>
    </row>
    <row r="90" customFormat="false" ht="15" hidden="false" customHeight="false" outlineLevel="0" collapsed="false">
      <c r="A90" s="2" t="s">
        <v>368</v>
      </c>
      <c r="B90" s="3" t="s">
        <v>348</v>
      </c>
      <c r="C90" s="4" t="s">
        <v>369</v>
      </c>
      <c r="D90" s="5" t="s">
        <v>11</v>
      </c>
      <c r="E90" s="4" t="s">
        <v>69</v>
      </c>
      <c r="F90" s="4" t="s">
        <v>370</v>
      </c>
      <c r="G90" s="6" t="n">
        <v>2</v>
      </c>
      <c r="H90" s="7" t="s">
        <v>20</v>
      </c>
    </row>
    <row r="91" customFormat="false" ht="15" hidden="false" customHeight="false" outlineLevel="0" collapsed="false">
      <c r="A91" s="2" t="s">
        <v>371</v>
      </c>
      <c r="B91" s="3" t="s">
        <v>348</v>
      </c>
      <c r="C91" s="4" t="s">
        <v>372</v>
      </c>
      <c r="D91" s="5" t="s">
        <v>11</v>
      </c>
      <c r="E91" s="4" t="s">
        <v>69</v>
      </c>
      <c r="F91" s="4" t="s">
        <v>373</v>
      </c>
      <c r="G91" s="6" t="n">
        <v>8</v>
      </c>
      <c r="H91" s="7" t="s">
        <v>20</v>
      </c>
    </row>
    <row r="92" customFormat="false" ht="15" hidden="false" customHeight="false" outlineLevel="0" collapsed="false">
      <c r="A92" s="2" t="s">
        <v>374</v>
      </c>
      <c r="B92" s="3" t="s">
        <v>348</v>
      </c>
      <c r="C92" s="4" t="s">
        <v>375</v>
      </c>
      <c r="D92" s="5" t="s">
        <v>11</v>
      </c>
      <c r="E92" s="4" t="s">
        <v>69</v>
      </c>
      <c r="F92" s="4" t="s">
        <v>376</v>
      </c>
      <c r="G92" s="6" t="n">
        <v>4</v>
      </c>
      <c r="H92" s="7" t="s">
        <v>20</v>
      </c>
    </row>
    <row r="93" customFormat="false" ht="15" hidden="false" customHeight="false" outlineLevel="0" collapsed="false">
      <c r="A93" s="2" t="s">
        <v>377</v>
      </c>
      <c r="B93" s="3" t="s">
        <v>348</v>
      </c>
      <c r="C93" s="4" t="s">
        <v>378</v>
      </c>
      <c r="D93" s="5" t="s">
        <v>11</v>
      </c>
      <c r="E93" s="4" t="s">
        <v>69</v>
      </c>
      <c r="F93" s="4" t="s">
        <v>379</v>
      </c>
      <c r="G93" s="6" t="n">
        <v>6</v>
      </c>
      <c r="H93" s="7" t="s">
        <v>20</v>
      </c>
    </row>
    <row r="94" customFormat="false" ht="23.85" hidden="false" customHeight="false" outlineLevel="0" collapsed="false">
      <c r="A94" s="2" t="s">
        <v>380</v>
      </c>
      <c r="B94" s="3" t="s">
        <v>348</v>
      </c>
      <c r="C94" s="4" t="s">
        <v>381</v>
      </c>
      <c r="D94" s="8" t="s">
        <v>17</v>
      </c>
      <c r="E94" s="4" t="s">
        <v>382</v>
      </c>
      <c r="F94" s="4" t="s">
        <v>383</v>
      </c>
      <c r="G94" s="6" t="n">
        <v>1.5</v>
      </c>
      <c r="H94" s="7" t="s">
        <v>14</v>
      </c>
    </row>
    <row r="95" customFormat="false" ht="35.05" hidden="false" customHeight="false" outlineLevel="0" collapsed="false">
      <c r="A95" s="2" t="s">
        <v>384</v>
      </c>
      <c r="B95" s="3" t="s">
        <v>319</v>
      </c>
      <c r="C95" s="4" t="s">
        <v>385</v>
      </c>
      <c r="D95" s="5" t="s">
        <v>11</v>
      </c>
      <c r="E95" s="4" t="s">
        <v>69</v>
      </c>
      <c r="F95" s="4" t="s">
        <v>386</v>
      </c>
      <c r="G95" s="6" t="n">
        <v>3</v>
      </c>
      <c r="H95" s="7" t="s">
        <v>14</v>
      </c>
    </row>
    <row r="96" customFormat="false" ht="23.85" hidden="false" customHeight="false" outlineLevel="0" collapsed="false">
      <c r="A96" s="2" t="s">
        <v>387</v>
      </c>
      <c r="B96" s="3" t="s">
        <v>9</v>
      </c>
      <c r="C96" s="4" t="s">
        <v>388</v>
      </c>
      <c r="D96" s="8" t="s">
        <v>17</v>
      </c>
      <c r="E96" s="4" t="s">
        <v>389</v>
      </c>
      <c r="F96" s="4" t="s">
        <v>390</v>
      </c>
      <c r="G96" s="6" t="n">
        <v>1</v>
      </c>
      <c r="H96" s="7" t="s">
        <v>14</v>
      </c>
    </row>
    <row r="97" customFormat="false" ht="23.85" hidden="false" customHeight="false" outlineLevel="0" collapsed="false">
      <c r="A97" s="2" t="s">
        <v>391</v>
      </c>
      <c r="B97" s="3" t="s">
        <v>348</v>
      </c>
      <c r="C97" s="4" t="s">
        <v>392</v>
      </c>
      <c r="D97" s="9" t="s">
        <v>31</v>
      </c>
      <c r="E97" s="4" t="s">
        <v>393</v>
      </c>
      <c r="F97" s="4" t="s">
        <v>394</v>
      </c>
      <c r="G97" s="6" t="n">
        <v>0</v>
      </c>
      <c r="H97" s="7" t="s">
        <v>34</v>
      </c>
    </row>
  </sheetData>
  <autoFilter ref="A1:H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3"/>
  </cols>
  <sheetData>
    <row r="1" customFormat="false" ht="16.15" hidden="false" customHeight="false" outlineLevel="0" collapsed="false">
      <c r="A1" s="10" t="s">
        <v>395</v>
      </c>
      <c r="B1" s="11"/>
      <c r="C1" s="11"/>
      <c r="D1" s="11"/>
      <c r="E1" s="11"/>
    </row>
    <row r="2" customFormat="false" ht="15" hidden="false" customHeight="false" outlineLevel="0" collapsed="false">
      <c r="A2" s="12" t="s">
        <v>396</v>
      </c>
      <c r="B2" s="11"/>
      <c r="C2" s="11"/>
      <c r="D2" s="11"/>
      <c r="E2" s="11"/>
    </row>
    <row r="3" customFormat="false" ht="15" hidden="false" customHeight="false" outlineLevel="0" collapsed="false">
      <c r="A3" s="13" t="s">
        <v>3</v>
      </c>
      <c r="B3" s="13" t="s">
        <v>397</v>
      </c>
      <c r="C3" s="13" t="s">
        <v>398</v>
      </c>
      <c r="D3" s="13" t="s">
        <v>6</v>
      </c>
      <c r="E3" s="11"/>
    </row>
    <row r="4" customFormat="false" ht="15" hidden="false" customHeight="false" outlineLevel="0" collapsed="false">
      <c r="A4" s="11" t="s">
        <v>31</v>
      </c>
      <c r="B4" s="11" t="n">
        <f aca="false">COUNTIF(Cotation!$D$2:$D$97,"OK")</f>
        <v>43</v>
      </c>
      <c r="C4" s="14" t="n">
        <f aca="false">B4/$B$7</f>
        <v>0.447916666666667</v>
      </c>
      <c r="D4" s="15" t="n">
        <f aca="false">SUMIFS(Cotation!$G$2:$G$97,Cotation!$D$2:$D$97,"OK")</f>
        <v>0.6</v>
      </c>
      <c r="E4" s="11"/>
    </row>
    <row r="5" customFormat="false" ht="15" hidden="false" customHeight="false" outlineLevel="0" collapsed="false">
      <c r="A5" s="11" t="s">
        <v>17</v>
      </c>
      <c r="B5" s="11" t="n">
        <f aca="false">COUNTIF(Cotation!$D$2:$D$97,"PARTIEL")</f>
        <v>32</v>
      </c>
      <c r="C5" s="14" t="n">
        <f aca="false">B5/$B$7</f>
        <v>0.333333333333333</v>
      </c>
      <c r="D5" s="15" t="n">
        <f aca="false">SUMIFS(Cotation!$G$2:$G$97,Cotation!$D$2:$D$97,"PARTIEL")</f>
        <v>62</v>
      </c>
      <c r="E5" s="11"/>
    </row>
    <row r="6" customFormat="false" ht="15" hidden="false" customHeight="false" outlineLevel="0" collapsed="false">
      <c r="A6" s="11" t="s">
        <v>11</v>
      </c>
      <c r="B6" s="11" t="n">
        <f aca="false">COUNTIF(Cotation!$D$2:$D$97,"KO")</f>
        <v>21</v>
      </c>
      <c r="C6" s="14" t="n">
        <f aca="false">B6/$B$7</f>
        <v>0.21875</v>
      </c>
      <c r="D6" s="15" t="n">
        <f aca="false">SUMIFS(Cotation!$G$2:$G$97,Cotation!$D$2:$D$97,"KO")</f>
        <v>63.9</v>
      </c>
      <c r="E6" s="11"/>
    </row>
    <row r="7" customFormat="false" ht="15" hidden="false" customHeight="false" outlineLevel="0" collapsed="false">
      <c r="A7" s="11" t="s">
        <v>399</v>
      </c>
      <c r="B7" s="11" t="n">
        <f aca="false">SUM(B4:B6)</f>
        <v>96</v>
      </c>
      <c r="C7" s="16" t="n">
        <f aca="false">SUM(C4:C6)</f>
        <v>1</v>
      </c>
      <c r="D7" s="15" t="n">
        <f aca="false">SUM(D4:D6)</f>
        <v>126.5</v>
      </c>
      <c r="E7" s="11"/>
    </row>
    <row r="8" customFormat="false" ht="15" hidden="false" customHeight="false" outlineLevel="0" collapsed="false">
      <c r="A8" s="11"/>
      <c r="B8" s="11"/>
      <c r="C8" s="11"/>
      <c r="D8" s="11"/>
      <c r="E8" s="11"/>
    </row>
    <row r="9" customFormat="false" ht="15" hidden="false" customHeight="false" outlineLevel="0" collapsed="false">
      <c r="A9" s="11" t="s">
        <v>400</v>
      </c>
      <c r="B9" s="14" t="n">
        <f aca="false">(B4+B5/2)/B7</f>
        <v>0.614583333333333</v>
      </c>
      <c r="C9" s="11"/>
      <c r="D9" s="11"/>
      <c r="E9" s="11"/>
    </row>
    <row r="10" customFormat="false" ht="15" hidden="false" customHeight="false" outlineLevel="0" collapsed="false">
      <c r="A10" s="11" t="s">
        <v>401</v>
      </c>
      <c r="B10" s="15" t="n">
        <f aca="false">D7</f>
        <v>126.5</v>
      </c>
      <c r="C10" s="11"/>
      <c r="D10" s="11"/>
      <c r="E10" s="11"/>
    </row>
    <row r="11" customFormat="false" ht="15" hidden="false" customHeight="false" outlineLevel="0" collapsed="false">
      <c r="A11" s="11"/>
      <c r="B11" s="11"/>
      <c r="C11" s="11"/>
      <c r="D11" s="11"/>
      <c r="E11" s="11"/>
    </row>
    <row r="12" customFormat="false" ht="15" hidden="false" customHeight="false" outlineLevel="0" collapsed="false">
      <c r="A12" s="17" t="s">
        <v>402</v>
      </c>
      <c r="B12" s="11"/>
      <c r="C12" s="11"/>
      <c r="D12" s="11"/>
      <c r="E12" s="11"/>
    </row>
    <row r="13" customFormat="false" ht="15" hidden="false" customHeight="false" outlineLevel="0" collapsed="false">
      <c r="A13" s="13" t="s">
        <v>7</v>
      </c>
      <c r="B13" s="13" t="s">
        <v>397</v>
      </c>
      <c r="C13" s="13" t="s">
        <v>6</v>
      </c>
      <c r="D13" s="11"/>
      <c r="E13" s="11"/>
    </row>
    <row r="14" customFormat="false" ht="15" hidden="false" customHeight="false" outlineLevel="0" collapsed="false">
      <c r="A14" s="11" t="s">
        <v>14</v>
      </c>
      <c r="B14" s="11" t="n">
        <f aca="false">COUNTIF(Cotation!$H$2:$H$97,"P1")</f>
        <v>26</v>
      </c>
      <c r="C14" s="15" t="n">
        <f aca="false">SUMIFS(Cotation!$G$2:$G$97,Cotation!$H$2:$H$97,"P1")</f>
        <v>43.4</v>
      </c>
      <c r="D14" s="11"/>
      <c r="E14" s="11"/>
    </row>
    <row r="15" customFormat="false" ht="15" hidden="false" customHeight="false" outlineLevel="0" collapsed="false">
      <c r="A15" s="11" t="s">
        <v>20</v>
      </c>
      <c r="B15" s="11" t="n">
        <f aca="false">COUNTIF(Cotation!$H$2:$H$97,"P2")</f>
        <v>29</v>
      </c>
      <c r="C15" s="15" t="n">
        <f aca="false">SUMIFS(Cotation!$G$2:$G$97,Cotation!$H$2:$H$97,"P2")</f>
        <v>83.1</v>
      </c>
      <c r="D15" s="11"/>
      <c r="E15" s="11"/>
    </row>
    <row r="16" customFormat="false" ht="15" hidden="false" customHeight="false" outlineLevel="0" collapsed="false">
      <c r="A16" s="11" t="s">
        <v>403</v>
      </c>
      <c r="B16" s="11" t="n">
        <f aca="false">COUNTIF(Cotation!$H$2:$H$97,"P3")</f>
        <v>0</v>
      </c>
      <c r="C16" s="15" t="n">
        <f aca="false">SUMIFS(Cotation!$G$2:$G$97,Cotation!$H$2:$H$97,"P3")</f>
        <v>0</v>
      </c>
      <c r="D16" s="11"/>
      <c r="E16" s="11"/>
    </row>
    <row r="17" customFormat="false" ht="15" hidden="false" customHeight="false" outlineLevel="0" collapsed="false">
      <c r="A17" s="11" t="s">
        <v>399</v>
      </c>
      <c r="B17" s="11" t="n">
        <f aca="false">SUM(B14:B16)</f>
        <v>55</v>
      </c>
      <c r="C17" s="15" t="n">
        <f aca="false">SUM(C14:C16)</f>
        <v>126.5</v>
      </c>
      <c r="D17" s="11"/>
      <c r="E17" s="11"/>
    </row>
    <row r="18" customFormat="false" ht="15" hidden="false" customHeight="false" outlineLevel="0" collapsed="false">
      <c r="A18" s="11"/>
      <c r="B18" s="11"/>
      <c r="C18" s="11"/>
      <c r="D18" s="11"/>
      <c r="E18" s="11"/>
    </row>
    <row r="19" customFormat="false" ht="15" hidden="false" customHeight="false" outlineLevel="0" collapsed="false">
      <c r="A19" s="17" t="s">
        <v>404</v>
      </c>
      <c r="B19" s="11"/>
      <c r="C19" s="11"/>
      <c r="D19" s="11"/>
      <c r="E19" s="11"/>
    </row>
    <row r="20" customFormat="false" ht="15" hidden="false" customHeight="false" outlineLevel="0" collapsed="false">
      <c r="A20" s="13" t="s">
        <v>1</v>
      </c>
      <c r="B20" s="13" t="s">
        <v>31</v>
      </c>
      <c r="C20" s="13" t="s">
        <v>17</v>
      </c>
      <c r="D20" s="13" t="s">
        <v>11</v>
      </c>
      <c r="E20" s="13" t="s">
        <v>6</v>
      </c>
    </row>
    <row r="21" customFormat="false" ht="15" hidden="false" customHeight="false" outlineLevel="0" collapsed="false">
      <c r="A21" s="11" t="s">
        <v>306</v>
      </c>
      <c r="B21" s="11" t="n">
        <f aca="false">COUNTIFS(Cotation!$B$2:$B$97,$A21,Cotation!$D$2:$D$97,"OK")</f>
        <v>1</v>
      </c>
      <c r="C21" s="11" t="n">
        <f aca="false">COUNTIFS(Cotation!$B$2:$B$97,$A21,Cotation!$D$2:$D$97,"PARTIEL")</f>
        <v>2</v>
      </c>
      <c r="D21" s="11" t="n">
        <f aca="false">COUNTIFS(Cotation!$B$2:$B$97,$A21,Cotation!$D$2:$D$97,"KO")</f>
        <v>0</v>
      </c>
      <c r="E21" s="15" t="n">
        <f aca="false">SUMIFS(Cotation!$G$2:$G$97,Cotation!$B$2:$B$97,$A21)</f>
        <v>2.5</v>
      </c>
    </row>
    <row r="22" customFormat="false" ht="15" hidden="false" customHeight="false" outlineLevel="0" collapsed="false">
      <c r="A22" s="11" t="s">
        <v>348</v>
      </c>
      <c r="B22" s="11" t="n">
        <f aca="false">COUNTIFS(Cotation!$B$2:$B$97,$A22,Cotation!$D$2:$D$97,"OK")</f>
        <v>3</v>
      </c>
      <c r="C22" s="11" t="n">
        <f aca="false">COUNTIFS(Cotation!$B$2:$B$97,$A22,Cotation!$D$2:$D$97,"PARTIEL")</f>
        <v>3</v>
      </c>
      <c r="D22" s="11" t="n">
        <f aca="false">COUNTIFS(Cotation!$B$2:$B$97,$A22,Cotation!$D$2:$D$97,"KO")</f>
        <v>5</v>
      </c>
      <c r="E22" s="15" t="n">
        <f aca="false">SUMIFS(Cotation!$G$2:$G$97,Cotation!$B$2:$B$97,$A22)</f>
        <v>33</v>
      </c>
    </row>
    <row r="23" customFormat="false" ht="15" hidden="false" customHeight="false" outlineLevel="0" collapsed="false">
      <c r="A23" s="11" t="s">
        <v>88</v>
      </c>
      <c r="B23" s="11" t="n">
        <f aca="false">COUNTIFS(Cotation!$B$2:$B$97,$A23,Cotation!$D$2:$D$97,"OK")</f>
        <v>0</v>
      </c>
      <c r="C23" s="11" t="n">
        <f aca="false">COUNTIFS(Cotation!$B$2:$B$97,$A23,Cotation!$D$2:$D$97,"PARTIEL")</f>
        <v>1</v>
      </c>
      <c r="D23" s="11" t="n">
        <f aca="false">COUNTIFS(Cotation!$B$2:$B$97,$A23,Cotation!$D$2:$D$97,"KO")</f>
        <v>1</v>
      </c>
      <c r="E23" s="15" t="n">
        <f aca="false">SUMIFS(Cotation!$G$2:$G$97,Cotation!$B$2:$B$97,$A23)</f>
        <v>5</v>
      </c>
    </row>
    <row r="24" customFormat="false" ht="15" hidden="false" customHeight="false" outlineLevel="0" collapsed="false">
      <c r="A24" s="11" t="s">
        <v>72</v>
      </c>
      <c r="B24" s="11" t="n">
        <f aca="false">COUNTIFS(Cotation!$B$2:$B$97,$A24,Cotation!$D$2:$D$97,"OK")</f>
        <v>2</v>
      </c>
      <c r="C24" s="11" t="n">
        <f aca="false">COUNTIFS(Cotation!$B$2:$B$97,$A24,Cotation!$D$2:$D$97,"PARTIEL")</f>
        <v>1</v>
      </c>
      <c r="D24" s="11" t="n">
        <f aca="false">COUNTIFS(Cotation!$B$2:$B$97,$A24,Cotation!$D$2:$D$97,"KO")</f>
        <v>1</v>
      </c>
      <c r="E24" s="15" t="n">
        <f aca="false">SUMIFS(Cotation!$G$2:$G$97,Cotation!$B$2:$B$97,$A24)</f>
        <v>3.5</v>
      </c>
    </row>
    <row r="25" customFormat="false" ht="15" hidden="false" customHeight="false" outlineLevel="0" collapsed="false">
      <c r="A25" s="11" t="s">
        <v>141</v>
      </c>
      <c r="B25" s="11" t="n">
        <f aca="false">COUNTIFS(Cotation!$B$2:$B$97,$A25,Cotation!$D$2:$D$97,"OK")</f>
        <v>3</v>
      </c>
      <c r="C25" s="11" t="n">
        <f aca="false">COUNTIFS(Cotation!$B$2:$B$97,$A25,Cotation!$D$2:$D$97,"PARTIEL")</f>
        <v>4</v>
      </c>
      <c r="D25" s="11" t="n">
        <f aca="false">COUNTIFS(Cotation!$B$2:$B$97,$A25,Cotation!$D$2:$D$97,"KO")</f>
        <v>4</v>
      </c>
      <c r="E25" s="15" t="n">
        <f aca="false">SUMIFS(Cotation!$G$2:$G$97,Cotation!$B$2:$B$97,$A25)</f>
        <v>20.5</v>
      </c>
    </row>
    <row r="26" customFormat="false" ht="15" hidden="false" customHeight="false" outlineLevel="0" collapsed="false">
      <c r="A26" s="11" t="s">
        <v>9</v>
      </c>
      <c r="B26" s="11" t="n">
        <f aca="false">COUNTIFS(Cotation!$B$2:$B$97,$A26,Cotation!$D$2:$D$97,"OK")</f>
        <v>5</v>
      </c>
      <c r="C26" s="11" t="n">
        <f aca="false">COUNTIFS(Cotation!$B$2:$B$97,$A26,Cotation!$D$2:$D$97,"PARTIEL")</f>
        <v>5</v>
      </c>
      <c r="D26" s="11" t="n">
        <f aca="false">COUNTIFS(Cotation!$B$2:$B$97,$A26,Cotation!$D$2:$D$97,"KO")</f>
        <v>5</v>
      </c>
      <c r="E26" s="15" t="n">
        <f aca="false">SUMIFS(Cotation!$G$2:$G$97,Cotation!$B$2:$B$97,$A26)</f>
        <v>12.4</v>
      </c>
    </row>
    <row r="27" customFormat="false" ht="15" hidden="false" customHeight="false" outlineLevel="0" collapsed="false">
      <c r="A27" s="11" t="s">
        <v>211</v>
      </c>
      <c r="B27" s="11" t="n">
        <f aca="false">COUNTIFS(Cotation!$B$2:$B$97,$A27,Cotation!$D$2:$D$97,"OK")</f>
        <v>5</v>
      </c>
      <c r="C27" s="11" t="n">
        <f aca="false">COUNTIFS(Cotation!$B$2:$B$97,$A27,Cotation!$D$2:$D$97,"PARTIEL")</f>
        <v>0</v>
      </c>
      <c r="D27" s="11" t="n">
        <f aca="false">COUNTIFS(Cotation!$B$2:$B$97,$A27,Cotation!$D$2:$D$97,"KO")</f>
        <v>0</v>
      </c>
      <c r="E27" s="15" t="n">
        <f aca="false">SUMIFS(Cotation!$G$2:$G$97,Cotation!$B$2:$B$97,$A27)</f>
        <v>0</v>
      </c>
    </row>
    <row r="28" customFormat="false" ht="15" hidden="false" customHeight="false" outlineLevel="0" collapsed="false">
      <c r="A28" s="11" t="s">
        <v>216</v>
      </c>
      <c r="B28" s="11" t="n">
        <f aca="false">COUNTIFS(Cotation!$B$2:$B$97,$A28,Cotation!$D$2:$D$97,"OK")</f>
        <v>12</v>
      </c>
      <c r="C28" s="11" t="n">
        <f aca="false">COUNTIFS(Cotation!$B$2:$B$97,$A28,Cotation!$D$2:$D$97,"PARTIEL")</f>
        <v>5</v>
      </c>
      <c r="D28" s="11" t="n">
        <f aca="false">COUNTIFS(Cotation!$B$2:$B$97,$A28,Cotation!$D$2:$D$97,"KO")</f>
        <v>2</v>
      </c>
      <c r="E28" s="15" t="n">
        <f aca="false">SUMIFS(Cotation!$G$2:$G$97,Cotation!$B$2:$B$97,$A28)</f>
        <v>18</v>
      </c>
    </row>
    <row r="29" customFormat="false" ht="15" hidden="false" customHeight="false" outlineLevel="0" collapsed="false">
      <c r="A29" s="11" t="s">
        <v>96</v>
      </c>
      <c r="B29" s="11" t="n">
        <f aca="false">COUNTIFS(Cotation!$B$2:$B$97,$A29,Cotation!$D$2:$D$97,"OK")</f>
        <v>7</v>
      </c>
      <c r="C29" s="11" t="n">
        <f aca="false">COUNTIFS(Cotation!$B$2:$B$97,$A29,Cotation!$D$2:$D$97,"PARTIEL")</f>
        <v>4</v>
      </c>
      <c r="D29" s="11" t="n">
        <f aca="false">COUNTIFS(Cotation!$B$2:$B$97,$A29,Cotation!$D$2:$D$97,"KO")</f>
        <v>0</v>
      </c>
      <c r="E29" s="15" t="n">
        <f aca="false">SUMIFS(Cotation!$G$2:$G$97,Cotation!$B$2:$B$97,$A29)</f>
        <v>5.8</v>
      </c>
    </row>
    <row r="30" customFormat="false" ht="15" hidden="false" customHeight="false" outlineLevel="0" collapsed="false">
      <c r="A30" s="11" t="s">
        <v>183</v>
      </c>
      <c r="B30" s="11" t="n">
        <f aca="false">COUNTIFS(Cotation!$B$2:$B$97,$A30,Cotation!$D$2:$D$97,"OK")</f>
        <v>2</v>
      </c>
      <c r="C30" s="11" t="n">
        <f aca="false">COUNTIFS(Cotation!$B$2:$B$97,$A30,Cotation!$D$2:$D$97,"PARTIEL")</f>
        <v>3</v>
      </c>
      <c r="D30" s="11" t="n">
        <f aca="false">COUNTIFS(Cotation!$B$2:$B$97,$A30,Cotation!$D$2:$D$97,"KO")</f>
        <v>2</v>
      </c>
      <c r="E30" s="15" t="n">
        <f aca="false">SUMIFS(Cotation!$G$2:$G$97,Cotation!$B$2:$B$97,$A30)</f>
        <v>14.3</v>
      </c>
    </row>
    <row r="31" customFormat="false" ht="15" hidden="false" customHeight="false" outlineLevel="0" collapsed="false">
      <c r="A31" s="11" t="s">
        <v>319</v>
      </c>
      <c r="B31" s="11" t="n">
        <f aca="false">COUNTIFS(Cotation!$B$2:$B$97,$A31,Cotation!$D$2:$D$97,"OK")</f>
        <v>3</v>
      </c>
      <c r="C31" s="11" t="n">
        <f aca="false">COUNTIFS(Cotation!$B$2:$B$97,$A31,Cotation!$D$2:$D$97,"PARTIEL")</f>
        <v>4</v>
      </c>
      <c r="D31" s="11" t="n">
        <f aca="false">COUNTIFS(Cotation!$B$2:$B$97,$A31,Cotation!$D$2:$D$97,"KO")</f>
        <v>1</v>
      </c>
      <c r="E31" s="15" t="n">
        <f aca="false">SUMIFS(Cotation!$G$2:$G$97,Cotation!$B$2:$B$97,$A31)</f>
        <v>11.5</v>
      </c>
    </row>
    <row r="32" customFormat="false" ht="15" hidden="false" customHeight="false" outlineLevel="0" collapsed="false">
      <c r="A32" s="12" t="s">
        <v>405</v>
      </c>
      <c r="B32" s="11"/>
      <c r="C32" s="11"/>
      <c r="D32" s="11"/>
      <c r="E3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2026-09-29T13:00:36Z</dcterms:created>
  <dc:creator>openpyxl</dc:creator>
  <dc:description/>
  <dc:language>en-US</dc:language>
  <cp:lastModifiedBy/>
  <dcterms:modified xsi:type="dcterms:W3CDTF">2026-09-29T13:00:36Z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